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ax\Downloads\"/>
    </mc:Choice>
  </mc:AlternateContent>
  <xr:revisionPtr revIDLastSave="0" documentId="13_ncr:1_{FF9010B5-DCC2-4F49-B608-5C235D7D268B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Data_Karyawan" sheetId="1" r:id="rId1"/>
    <sheet name="Payroll_Februari_2026" sheetId="2" r:id="rId2"/>
    <sheet name="Slip_Gaj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17" i="2" l="1"/>
  <c r="E411" i="3"/>
  <c r="B411" i="3"/>
  <c r="E410" i="3"/>
  <c r="E409" i="3"/>
  <c r="B409" i="3"/>
  <c r="B405" i="3"/>
  <c r="E404" i="3"/>
  <c r="E403" i="3"/>
  <c r="B403" i="3"/>
  <c r="E391" i="3"/>
  <c r="B391" i="3"/>
  <c r="E390" i="3"/>
  <c r="B389" i="3"/>
  <c r="B385" i="3"/>
  <c r="E384" i="3"/>
  <c r="E383" i="3"/>
  <c r="B383" i="3"/>
  <c r="E371" i="3"/>
  <c r="B371" i="3"/>
  <c r="E370" i="3"/>
  <c r="B369" i="3"/>
  <c r="B365" i="3"/>
  <c r="E364" i="3"/>
  <c r="E363" i="3"/>
  <c r="B363" i="3"/>
  <c r="E351" i="3"/>
  <c r="B351" i="3"/>
  <c r="E350" i="3"/>
  <c r="B349" i="3"/>
  <c r="B345" i="3"/>
  <c r="E344" i="3"/>
  <c r="E343" i="3"/>
  <c r="B343" i="3"/>
  <c r="E331" i="3"/>
  <c r="B331" i="3"/>
  <c r="E330" i="3"/>
  <c r="B329" i="3"/>
  <c r="B325" i="3"/>
  <c r="E324" i="3"/>
  <c r="E323" i="3"/>
  <c r="B323" i="3"/>
  <c r="E311" i="3"/>
  <c r="B311" i="3"/>
  <c r="E310" i="3"/>
  <c r="B309" i="3"/>
  <c r="B305" i="3"/>
  <c r="E304" i="3"/>
  <c r="E303" i="3"/>
  <c r="B303" i="3"/>
  <c r="E291" i="3"/>
  <c r="B291" i="3"/>
  <c r="E290" i="3"/>
  <c r="B289" i="3"/>
  <c r="B285" i="3"/>
  <c r="E284" i="3"/>
  <c r="E283" i="3"/>
  <c r="B283" i="3"/>
  <c r="E271" i="3"/>
  <c r="B271" i="3"/>
  <c r="E270" i="3"/>
  <c r="B270" i="3"/>
  <c r="B269" i="3"/>
  <c r="B265" i="3"/>
  <c r="E264" i="3"/>
  <c r="E263" i="3"/>
  <c r="B263" i="3"/>
  <c r="E251" i="3"/>
  <c r="B251" i="3"/>
  <c r="E250" i="3"/>
  <c r="B249" i="3"/>
  <c r="B245" i="3"/>
  <c r="E244" i="3"/>
  <c r="E243" i="3"/>
  <c r="B243" i="3"/>
  <c r="E231" i="3"/>
  <c r="B231" i="3"/>
  <c r="E230" i="3"/>
  <c r="B230" i="3"/>
  <c r="B229" i="3"/>
  <c r="B225" i="3"/>
  <c r="E224" i="3"/>
  <c r="E223" i="3"/>
  <c r="B223" i="3"/>
  <c r="E211" i="3"/>
  <c r="B211" i="3"/>
  <c r="E210" i="3"/>
  <c r="B209" i="3"/>
  <c r="B205" i="3"/>
  <c r="E204" i="3"/>
  <c r="E203" i="3"/>
  <c r="B203" i="3"/>
  <c r="E191" i="3"/>
  <c r="B191" i="3"/>
  <c r="E190" i="3"/>
  <c r="B189" i="3"/>
  <c r="B185" i="3"/>
  <c r="E184" i="3"/>
  <c r="E183" i="3"/>
  <c r="B183" i="3"/>
  <c r="E171" i="3"/>
  <c r="B171" i="3"/>
  <c r="E170" i="3"/>
  <c r="B169" i="3"/>
  <c r="B165" i="3"/>
  <c r="E164" i="3"/>
  <c r="E163" i="3"/>
  <c r="B163" i="3"/>
  <c r="E151" i="3"/>
  <c r="B151" i="3"/>
  <c r="E150" i="3"/>
  <c r="B149" i="3"/>
  <c r="B145" i="3"/>
  <c r="E144" i="3"/>
  <c r="E143" i="3"/>
  <c r="B143" i="3"/>
  <c r="E131" i="3"/>
  <c r="B131" i="3"/>
  <c r="E130" i="3"/>
  <c r="B129" i="3"/>
  <c r="B125" i="3"/>
  <c r="E124" i="3"/>
  <c r="E123" i="3"/>
  <c r="B123" i="3"/>
  <c r="E111" i="3"/>
  <c r="B111" i="3"/>
  <c r="E110" i="3"/>
  <c r="B109" i="3"/>
  <c r="B105" i="3"/>
  <c r="E104" i="3"/>
  <c r="E103" i="3"/>
  <c r="B103" i="3"/>
  <c r="E91" i="3"/>
  <c r="B91" i="3"/>
  <c r="E90" i="3"/>
  <c r="B89" i="3"/>
  <c r="B85" i="3"/>
  <c r="E84" i="3"/>
  <c r="E83" i="3"/>
  <c r="B83" i="3"/>
  <c r="E71" i="3"/>
  <c r="B71" i="3"/>
  <c r="E70" i="3"/>
  <c r="B69" i="3"/>
  <c r="B65" i="3"/>
  <c r="E64" i="3"/>
  <c r="E63" i="3"/>
  <c r="B63" i="3"/>
  <c r="E51" i="3"/>
  <c r="B51" i="3"/>
  <c r="E50" i="3"/>
  <c r="B49" i="3"/>
  <c r="E44" i="3"/>
  <c r="E43" i="3"/>
  <c r="B43" i="3"/>
  <c r="E31" i="3"/>
  <c r="B31" i="3"/>
  <c r="E30" i="3"/>
  <c r="B29" i="3"/>
  <c r="B25" i="3"/>
  <c r="E24" i="3"/>
  <c r="E23" i="3"/>
  <c r="B23" i="3"/>
  <c r="E11" i="3"/>
  <c r="B11" i="3"/>
  <c r="E10" i="3"/>
  <c r="B10" i="3"/>
  <c r="B5" i="3"/>
  <c r="E4" i="3"/>
  <c r="E3" i="3"/>
  <c r="B3" i="3"/>
  <c r="V26" i="2"/>
  <c r="R26" i="2"/>
  <c r="P26" i="2"/>
  <c r="F26" i="2"/>
  <c r="E26" i="2"/>
  <c r="D26" i="2"/>
  <c r="T25" i="2"/>
  <c r="U25" i="2" s="1"/>
  <c r="N25" i="2"/>
  <c r="E408" i="3" s="1"/>
  <c r="E413" i="3" s="1"/>
  <c r="M25" i="2"/>
  <c r="L25" i="2"/>
  <c r="K25" i="2"/>
  <c r="J25" i="2"/>
  <c r="A416" i="3" s="1"/>
  <c r="G25" i="2"/>
  <c r="I25" i="2" s="1"/>
  <c r="B25" i="2"/>
  <c r="B404" i="3" s="1"/>
  <c r="T24" i="2"/>
  <c r="B390" i="3" s="1"/>
  <c r="Q24" i="2"/>
  <c r="O24" i="2"/>
  <c r="E389" i="3" s="1"/>
  <c r="N24" i="2"/>
  <c r="E388" i="3" s="1"/>
  <c r="E393" i="3" s="1"/>
  <c r="M24" i="2"/>
  <c r="L24" i="2"/>
  <c r="K24" i="2"/>
  <c r="J24" i="2"/>
  <c r="A396" i="3" s="1"/>
  <c r="I24" i="2"/>
  <c r="B388" i="3" s="1"/>
  <c r="B393" i="3" s="1"/>
  <c r="G24" i="2"/>
  <c r="B24" i="2"/>
  <c r="B384" i="3" s="1"/>
  <c r="T23" i="2"/>
  <c r="B370" i="3" s="1"/>
  <c r="O23" i="2"/>
  <c r="E369" i="3" s="1"/>
  <c r="N23" i="2"/>
  <c r="E368" i="3" s="1"/>
  <c r="E373" i="3" s="1"/>
  <c r="M23" i="2"/>
  <c r="L23" i="2"/>
  <c r="K23" i="2"/>
  <c r="J23" i="2"/>
  <c r="A376" i="3" s="1"/>
  <c r="I23" i="2"/>
  <c r="G23" i="2"/>
  <c r="B23" i="2"/>
  <c r="B364" i="3" s="1"/>
  <c r="U22" i="2"/>
  <c r="T22" i="2"/>
  <c r="B350" i="3" s="1"/>
  <c r="O22" i="2"/>
  <c r="E349" i="3" s="1"/>
  <c r="N22" i="2"/>
  <c r="Q22" i="2" s="1"/>
  <c r="M22" i="2"/>
  <c r="L22" i="2"/>
  <c r="K22" i="2"/>
  <c r="J22" i="2"/>
  <c r="A356" i="3" s="1"/>
  <c r="G22" i="2"/>
  <c r="I22" i="2" s="1"/>
  <c r="B22" i="2"/>
  <c r="B344" i="3" s="1"/>
  <c r="T21" i="2"/>
  <c r="B330" i="3" s="1"/>
  <c r="Q21" i="2"/>
  <c r="O21" i="2"/>
  <c r="E329" i="3" s="1"/>
  <c r="N21" i="2"/>
  <c r="E328" i="3" s="1"/>
  <c r="M21" i="2"/>
  <c r="L21" i="2"/>
  <c r="K21" i="2"/>
  <c r="J21" i="2"/>
  <c r="A336" i="3" s="1"/>
  <c r="G21" i="2"/>
  <c r="I21" i="2" s="1"/>
  <c r="B21" i="2"/>
  <c r="B324" i="3" s="1"/>
  <c r="U20" i="2"/>
  <c r="T20" i="2"/>
  <c r="B310" i="3" s="1"/>
  <c r="O20" i="2"/>
  <c r="E309" i="3" s="1"/>
  <c r="N20" i="2"/>
  <c r="Q20" i="2" s="1"/>
  <c r="M20" i="2"/>
  <c r="L20" i="2"/>
  <c r="K20" i="2"/>
  <c r="J20" i="2"/>
  <c r="A316" i="3" s="1"/>
  <c r="G20" i="2"/>
  <c r="I20" i="2" s="1"/>
  <c r="B20" i="2"/>
  <c r="B304" i="3" s="1"/>
  <c r="U19" i="2"/>
  <c r="T19" i="2"/>
  <c r="B290" i="3" s="1"/>
  <c r="O19" i="2"/>
  <c r="E289" i="3" s="1"/>
  <c r="N19" i="2"/>
  <c r="E288" i="3" s="1"/>
  <c r="E293" i="3" s="1"/>
  <c r="M19" i="2"/>
  <c r="L19" i="2"/>
  <c r="K19" i="2"/>
  <c r="J19" i="2"/>
  <c r="A296" i="3" s="1"/>
  <c r="I19" i="2"/>
  <c r="B288" i="3" s="1"/>
  <c r="G19" i="2"/>
  <c r="B19" i="2"/>
  <c r="B284" i="3" s="1"/>
  <c r="U18" i="2"/>
  <c r="O18" i="2"/>
  <c r="E269" i="3" s="1"/>
  <c r="N18" i="2"/>
  <c r="E268" i="3" s="1"/>
  <c r="E273" i="3" s="1"/>
  <c r="M18" i="2"/>
  <c r="L18" i="2"/>
  <c r="K18" i="2"/>
  <c r="J18" i="2"/>
  <c r="A276" i="3" s="1"/>
  <c r="I18" i="2"/>
  <c r="B268" i="3" s="1"/>
  <c r="B273" i="3" s="1"/>
  <c r="G18" i="2"/>
  <c r="B18" i="2"/>
  <c r="B264" i="3" s="1"/>
  <c r="U17" i="2"/>
  <c r="B250" i="3"/>
  <c r="O17" i="2"/>
  <c r="E249" i="3" s="1"/>
  <c r="N17" i="2"/>
  <c r="Q17" i="2" s="1"/>
  <c r="M17" i="2"/>
  <c r="L17" i="2"/>
  <c r="K17" i="2"/>
  <c r="J17" i="2"/>
  <c r="A256" i="3" s="1"/>
  <c r="G17" i="2"/>
  <c r="I17" i="2" s="1"/>
  <c r="B17" i="2"/>
  <c r="B244" i="3" s="1"/>
  <c r="U16" i="2"/>
  <c r="O16" i="2"/>
  <c r="E229" i="3" s="1"/>
  <c r="N16" i="2"/>
  <c r="E228" i="3" s="1"/>
  <c r="E233" i="3" s="1"/>
  <c r="M16" i="2"/>
  <c r="L16" i="2"/>
  <c r="K16" i="2"/>
  <c r="J16" i="2"/>
  <c r="A236" i="3" s="1"/>
  <c r="G16" i="2"/>
  <c r="I16" i="2" s="1"/>
  <c r="B16" i="2"/>
  <c r="B224" i="3" s="1"/>
  <c r="T15" i="2"/>
  <c r="U15" i="2" s="1"/>
  <c r="O15" i="2"/>
  <c r="E209" i="3" s="1"/>
  <c r="N15" i="2"/>
  <c r="E208" i="3" s="1"/>
  <c r="E213" i="3" s="1"/>
  <c r="M15" i="2"/>
  <c r="L15" i="2"/>
  <c r="K15" i="2"/>
  <c r="J15" i="2"/>
  <c r="A216" i="3" s="1"/>
  <c r="I15" i="2"/>
  <c r="B208" i="3" s="1"/>
  <c r="G15" i="2"/>
  <c r="B15" i="2"/>
  <c r="B204" i="3" s="1"/>
  <c r="T14" i="2"/>
  <c r="B190" i="3" s="1"/>
  <c r="O14" i="2"/>
  <c r="E189" i="3" s="1"/>
  <c r="N14" i="2"/>
  <c r="E188" i="3" s="1"/>
  <c r="E193" i="3" s="1"/>
  <c r="M14" i="2"/>
  <c r="L14" i="2"/>
  <c r="K14" i="2"/>
  <c r="J14" i="2"/>
  <c r="A196" i="3" s="1"/>
  <c r="I14" i="2"/>
  <c r="G14" i="2"/>
  <c r="B14" i="2"/>
  <c r="B184" i="3" s="1"/>
  <c r="T13" i="2"/>
  <c r="U13" i="2" s="1"/>
  <c r="O13" i="2"/>
  <c r="E169" i="3" s="1"/>
  <c r="N13" i="2"/>
  <c r="Q13" i="2" s="1"/>
  <c r="M13" i="2"/>
  <c r="L13" i="2"/>
  <c r="K13" i="2"/>
  <c r="J13" i="2"/>
  <c r="A176" i="3" s="1"/>
  <c r="I13" i="2"/>
  <c r="G13" i="2"/>
  <c r="B13" i="2"/>
  <c r="B164" i="3" s="1"/>
  <c r="U12" i="2"/>
  <c r="T12" i="2"/>
  <c r="B150" i="3" s="1"/>
  <c r="O12" i="2"/>
  <c r="E149" i="3" s="1"/>
  <c r="N12" i="2"/>
  <c r="Q12" i="2" s="1"/>
  <c r="M12" i="2"/>
  <c r="L12" i="2"/>
  <c r="K12" i="2"/>
  <c r="J12" i="2"/>
  <c r="A156" i="3" s="1"/>
  <c r="G12" i="2"/>
  <c r="I12" i="2" s="1"/>
  <c r="B12" i="2"/>
  <c r="B144" i="3" s="1"/>
  <c r="T11" i="2"/>
  <c r="U11" i="2" s="1"/>
  <c r="Q11" i="2"/>
  <c r="O11" i="2"/>
  <c r="E129" i="3" s="1"/>
  <c r="N11" i="2"/>
  <c r="E128" i="3" s="1"/>
  <c r="M11" i="2"/>
  <c r="L11" i="2"/>
  <c r="K11" i="2"/>
  <c r="J11" i="2"/>
  <c r="A136" i="3" s="1"/>
  <c r="G11" i="2"/>
  <c r="I11" i="2" s="1"/>
  <c r="B11" i="2"/>
  <c r="B124" i="3" s="1"/>
  <c r="U10" i="2"/>
  <c r="T10" i="2"/>
  <c r="B110" i="3" s="1"/>
  <c r="O10" i="2"/>
  <c r="E109" i="3" s="1"/>
  <c r="N10" i="2"/>
  <c r="E108" i="3" s="1"/>
  <c r="E113" i="3" s="1"/>
  <c r="M10" i="2"/>
  <c r="L10" i="2"/>
  <c r="K10" i="2"/>
  <c r="J10" i="2"/>
  <c r="A116" i="3" s="1"/>
  <c r="G10" i="2"/>
  <c r="I10" i="2" s="1"/>
  <c r="B10" i="2"/>
  <c r="B104" i="3" s="1"/>
  <c r="T9" i="2"/>
  <c r="U9" i="2" s="1"/>
  <c r="O9" i="2"/>
  <c r="E89" i="3" s="1"/>
  <c r="N9" i="2"/>
  <c r="Q9" i="2" s="1"/>
  <c r="M9" i="2"/>
  <c r="L9" i="2"/>
  <c r="K9" i="2"/>
  <c r="J9" i="2"/>
  <c r="A96" i="3" s="1"/>
  <c r="I9" i="2"/>
  <c r="G9" i="2"/>
  <c r="B9" i="2"/>
  <c r="B84" i="3" s="1"/>
  <c r="U8" i="2"/>
  <c r="T8" i="2"/>
  <c r="B70" i="3" s="1"/>
  <c r="O8" i="2"/>
  <c r="E69" i="3" s="1"/>
  <c r="N8" i="2"/>
  <c r="E68" i="3" s="1"/>
  <c r="E73" i="3" s="1"/>
  <c r="M8" i="2"/>
  <c r="L8" i="2"/>
  <c r="K8" i="2"/>
  <c r="J8" i="2"/>
  <c r="A76" i="3" s="1"/>
  <c r="G8" i="2"/>
  <c r="I8" i="2" s="1"/>
  <c r="B8" i="2"/>
  <c r="B64" i="3" s="1"/>
  <c r="T7" i="2"/>
  <c r="U7" i="2" s="1"/>
  <c r="O7" i="2"/>
  <c r="E49" i="3" s="1"/>
  <c r="N7" i="2"/>
  <c r="E48" i="3" s="1"/>
  <c r="E53" i="3" s="1"/>
  <c r="M7" i="2"/>
  <c r="L7" i="2"/>
  <c r="K7" i="2"/>
  <c r="J7" i="2"/>
  <c r="A56" i="3" s="1"/>
  <c r="H7" i="2"/>
  <c r="B45" i="3" s="1"/>
  <c r="G7" i="2"/>
  <c r="I7" i="2" s="1"/>
  <c r="B7" i="2"/>
  <c r="B44" i="3" s="1"/>
  <c r="T6" i="2"/>
  <c r="T26" i="2" s="1"/>
  <c r="O6" i="2"/>
  <c r="E29" i="3" s="1"/>
  <c r="N6" i="2"/>
  <c r="Q6" i="2" s="1"/>
  <c r="M6" i="2"/>
  <c r="L6" i="2"/>
  <c r="K6" i="2"/>
  <c r="J6" i="2"/>
  <c r="A36" i="3" s="1"/>
  <c r="I6" i="2"/>
  <c r="G6" i="2"/>
  <c r="B6" i="2"/>
  <c r="B24" i="3" s="1"/>
  <c r="U5" i="2"/>
  <c r="S5" i="2"/>
  <c r="S26" i="2" s="1"/>
  <c r="O5" i="2"/>
  <c r="E9" i="3" s="1"/>
  <c r="N5" i="2"/>
  <c r="Q5" i="2" s="1"/>
  <c r="M5" i="2"/>
  <c r="M26" i="2" s="1"/>
  <c r="L5" i="2"/>
  <c r="L26" i="2" s="1"/>
  <c r="K5" i="2"/>
  <c r="K26" i="2" s="1"/>
  <c r="J5" i="2"/>
  <c r="J26" i="2" s="1"/>
  <c r="C5" i="2"/>
  <c r="G5" i="2" s="1"/>
  <c r="B5" i="2"/>
  <c r="B4" i="3" s="1"/>
  <c r="E2" i="2"/>
  <c r="B228" i="3" l="1"/>
  <c r="B233" i="3" s="1"/>
  <c r="B308" i="3"/>
  <c r="B313" i="3" s="1"/>
  <c r="W20" i="2"/>
  <c r="E315" i="3" s="1"/>
  <c r="W8" i="2"/>
  <c r="E75" i="3" s="1"/>
  <c r="B68" i="3"/>
  <c r="B73" i="3" s="1"/>
  <c r="W17" i="2"/>
  <c r="E255" i="3" s="1"/>
  <c r="B248" i="3"/>
  <c r="B253" i="3" s="1"/>
  <c r="G26" i="2"/>
  <c r="I5" i="2"/>
  <c r="B328" i="3"/>
  <c r="B333" i="3" s="1"/>
  <c r="W9" i="2"/>
  <c r="E95" i="3" s="1"/>
  <c r="E133" i="3"/>
  <c r="W13" i="2"/>
  <c r="E175" i="3" s="1"/>
  <c r="B408" i="3"/>
  <c r="B108" i="3"/>
  <c r="B113" i="3" s="1"/>
  <c r="W22" i="2"/>
  <c r="E355" i="3" s="1"/>
  <c r="B348" i="3"/>
  <c r="B353" i="3" s="1"/>
  <c r="W6" i="2"/>
  <c r="E35" i="3" s="1"/>
  <c r="B48" i="3"/>
  <c r="B128" i="3"/>
  <c r="W11" i="2"/>
  <c r="E135" i="3" s="1"/>
  <c r="B293" i="3"/>
  <c r="E333" i="3"/>
  <c r="W23" i="2"/>
  <c r="E375" i="3" s="1"/>
  <c r="B148" i="3"/>
  <c r="B153" i="3" s="1"/>
  <c r="W12" i="2"/>
  <c r="E155" i="3" s="1"/>
  <c r="Q14" i="2"/>
  <c r="W14" i="2" s="1"/>
  <c r="E195" i="3" s="1"/>
  <c r="C26" i="2"/>
  <c r="B90" i="3"/>
  <c r="E148" i="3"/>
  <c r="E153" i="3" s="1"/>
  <c r="B168" i="3"/>
  <c r="E308" i="3"/>
  <c r="E313" i="3" s="1"/>
  <c r="B410" i="3"/>
  <c r="N26" i="2"/>
  <c r="E8" i="3"/>
  <c r="E13" i="3" s="1"/>
  <c r="B28" i="3"/>
  <c r="E168" i="3"/>
  <c r="E173" i="3" s="1"/>
  <c r="B188" i="3"/>
  <c r="B193" i="3" s="1"/>
  <c r="O26" i="2"/>
  <c r="B9" i="3"/>
  <c r="E28" i="3"/>
  <c r="E33" i="3" s="1"/>
  <c r="B130" i="3"/>
  <c r="E348" i="3"/>
  <c r="E353" i="3" s="1"/>
  <c r="B368" i="3"/>
  <c r="B373" i="3" s="1"/>
  <c r="U24" i="2"/>
  <c r="W24" i="2" s="1"/>
  <c r="E395" i="3" s="1"/>
  <c r="Q18" i="2"/>
  <c r="W18" i="2" s="1"/>
  <c r="E275" i="3" s="1"/>
  <c r="U21" i="2"/>
  <c r="W21" i="2" s="1"/>
  <c r="E335" i="3" s="1"/>
  <c r="Q23" i="2"/>
  <c r="A16" i="3"/>
  <c r="Q8" i="2"/>
  <c r="U14" i="2"/>
  <c r="Q10" i="2"/>
  <c r="W10" i="2" s="1"/>
  <c r="E115" i="3" s="1"/>
  <c r="Q25" i="2"/>
  <c r="W25" i="2" s="1"/>
  <c r="E415" i="3" s="1"/>
  <c r="B88" i="3"/>
  <c r="B170" i="3"/>
  <c r="Q16" i="2"/>
  <c r="W16" i="2" s="1"/>
  <c r="E235" i="3" s="1"/>
  <c r="Q7" i="2"/>
  <c r="W7" i="2" s="1"/>
  <c r="E55" i="3" s="1"/>
  <c r="Q15" i="2"/>
  <c r="W15" i="2" s="1"/>
  <c r="E215" i="3" s="1"/>
  <c r="U23" i="2"/>
  <c r="B30" i="3"/>
  <c r="E88" i="3"/>
  <c r="E93" i="3" s="1"/>
  <c r="E248" i="3"/>
  <c r="E253" i="3" s="1"/>
  <c r="B50" i="3"/>
  <c r="B210" i="3"/>
  <c r="B213" i="3" s="1"/>
  <c r="U6" i="2"/>
  <c r="U26" i="2" s="1"/>
  <c r="Q19" i="2"/>
  <c r="W19" i="2" s="1"/>
  <c r="E295" i="3" s="1"/>
  <c r="Q26" i="2" l="1"/>
  <c r="B33" i="3"/>
  <c r="B133" i="3"/>
  <c r="B53" i="3"/>
  <c r="B413" i="3"/>
  <c r="W5" i="2"/>
  <c r="B8" i="3"/>
  <c r="B13" i="3" s="1"/>
  <c r="B93" i="3"/>
  <c r="B173" i="3"/>
  <c r="E15" i="3" l="1"/>
  <c r="W26" i="2"/>
</calcChain>
</file>

<file path=xl/sharedStrings.xml><?xml version="1.0" encoding="utf-8"?>
<sst xmlns="http://schemas.openxmlformats.org/spreadsheetml/2006/main" count="559" uniqueCount="104">
  <si>
    <t>NIK</t>
  </si>
  <si>
    <t>Nama</t>
  </si>
  <si>
    <t>Jabatan</t>
  </si>
  <si>
    <t>Gaji Pokok</t>
  </si>
  <si>
    <t>Tunjangan</t>
  </si>
  <si>
    <t>Status PTKP</t>
  </si>
  <si>
    <t>3271062612000018</t>
  </si>
  <si>
    <t>Dylan Eldiyano Ramadhan</t>
  </si>
  <si>
    <t>Analyst</t>
  </si>
  <si>
    <t>TK/0</t>
  </si>
  <si>
    <t>3402122812860002</t>
  </si>
  <si>
    <t xml:space="preserve">Berlianagara A. H </t>
  </si>
  <si>
    <t>K/3</t>
  </si>
  <si>
    <t>0000000000000000</t>
  </si>
  <si>
    <t>Zwin</t>
  </si>
  <si>
    <t>3578105610980006</t>
  </si>
  <si>
    <t>Nabilla Firdaus Palesta Lihawa</t>
  </si>
  <si>
    <t>Finance</t>
  </si>
  <si>
    <t>3509066607020002</t>
  </si>
  <si>
    <t xml:space="preserve">Fiagem Dwi Woro Bahwani </t>
  </si>
  <si>
    <t xml:space="preserve">Personal Assitant </t>
  </si>
  <si>
    <t>3516132404020001</t>
  </si>
  <si>
    <t>Alfian Dwi Nugraha</t>
  </si>
  <si>
    <t>IT/Programmer</t>
  </si>
  <si>
    <t>3506251905960002</t>
  </si>
  <si>
    <t>Masrukin</t>
  </si>
  <si>
    <t>Media</t>
  </si>
  <si>
    <t>3509031207020013</t>
  </si>
  <si>
    <t>Bowo Prayoga</t>
  </si>
  <si>
    <t>1802180809010001</t>
  </si>
  <si>
    <t>Satria Baladewa Harahap</t>
  </si>
  <si>
    <t>3515182611990006</t>
  </si>
  <si>
    <t xml:space="preserve">Rudi Ardi Hamzah </t>
  </si>
  <si>
    <t xml:space="preserve">Media </t>
  </si>
  <si>
    <t>3505101808040002</t>
  </si>
  <si>
    <t xml:space="preserve">Muhammad Fariza Agustino </t>
  </si>
  <si>
    <t>0000000000000001</t>
  </si>
  <si>
    <t>Pendik</t>
  </si>
  <si>
    <t>3523037103030001</t>
  </si>
  <si>
    <t>Meysa Mahfudhoh</t>
  </si>
  <si>
    <t>3515153107010001</t>
  </si>
  <si>
    <t>M. Rizqi R.</t>
  </si>
  <si>
    <t>6201026602010003</t>
  </si>
  <si>
    <t xml:space="preserve">Florencia Irena </t>
  </si>
  <si>
    <t xml:space="preserve">Marketing - Visual Design </t>
  </si>
  <si>
    <t>3509050202010002</t>
  </si>
  <si>
    <t>Fahrul Muttaqin</t>
  </si>
  <si>
    <t>3578030810010002</t>
  </si>
  <si>
    <t>Abid Ariq Athallah</t>
  </si>
  <si>
    <t>3578012501030002</t>
  </si>
  <si>
    <t>Bambang Adi</t>
  </si>
  <si>
    <t>3522082502850005</t>
  </si>
  <si>
    <t>Mochamad Soleh</t>
  </si>
  <si>
    <t>Operasional</t>
  </si>
  <si>
    <t>K/2</t>
  </si>
  <si>
    <t>3524013107840001</t>
  </si>
  <si>
    <t>Kamit</t>
  </si>
  <si>
    <t>K/1</t>
  </si>
  <si>
    <t>3522081109070003</t>
  </si>
  <si>
    <t>Galang Belvasya Septian</t>
  </si>
  <si>
    <t>DITANGGUNG PERUSAHAAN</t>
  </si>
  <si>
    <t>POTONGAN KARYAWAN</t>
  </si>
  <si>
    <t>3.7%</t>
  </si>
  <si>
    <t>0.24%</t>
  </si>
  <si>
    <t>0.3%</t>
  </si>
  <si>
    <t>NAMA</t>
  </si>
  <si>
    <t>SALARY</t>
  </si>
  <si>
    <t>RATE BPJS KES</t>
  </si>
  <si>
    <t xml:space="preserve">RATE BPJS TK </t>
  </si>
  <si>
    <t>RATE PAJAK</t>
  </si>
  <si>
    <t xml:space="preserve">GROSS </t>
  </si>
  <si>
    <t xml:space="preserve">HARI KERJA </t>
  </si>
  <si>
    <t>TOTAL GROSS BULAN BERJALAN</t>
  </si>
  <si>
    <t>KESEHATAN</t>
  </si>
  <si>
    <t>JHT</t>
  </si>
  <si>
    <t>JKK</t>
  </si>
  <si>
    <t>JKM</t>
  </si>
  <si>
    <t>BPJS KES</t>
  </si>
  <si>
    <t>BPJSTK - JHT</t>
  </si>
  <si>
    <t>PPH 21</t>
  </si>
  <si>
    <t>TOTAL POTONGAN PPH 21, BPJS TK &amp; KES</t>
  </si>
  <si>
    <t xml:space="preserve">TOTAL POTONGAN INTERNAL </t>
  </si>
  <si>
    <t>UANG TRANSPORT</t>
  </si>
  <si>
    <t>UANG MAKAN</t>
  </si>
  <si>
    <t xml:space="preserve">TOTAL TUNJANGAN </t>
  </si>
  <si>
    <t xml:space="preserve">TOTAL  BONUS </t>
  </si>
  <si>
    <t>TAKE HOME PAY</t>
  </si>
  <si>
    <t xml:space="preserve">Kamit </t>
  </si>
  <si>
    <t>Pot ke-2</t>
  </si>
  <si>
    <t>4/6</t>
  </si>
  <si>
    <t>Periode: Februari 2026</t>
  </si>
  <si>
    <t>Hari Kerja</t>
  </si>
  <si>
    <t>PENDAPATAN</t>
  </si>
  <si>
    <t>POTONGAN</t>
  </si>
  <si>
    <t>Gaji Pokok (Prorata)</t>
  </si>
  <si>
    <t>BPJS Kesehatan</t>
  </si>
  <si>
    <t>Uang Transport</t>
  </si>
  <si>
    <t>BPJS TK - JHT</t>
  </si>
  <si>
    <t>Uang Makan</t>
  </si>
  <si>
    <t>Bonus</t>
  </si>
  <si>
    <t>Potongan Internal</t>
  </si>
  <si>
    <t>TOTAL PENDAPATAN</t>
  </si>
  <si>
    <t>TOTAL POTONGAN</t>
  </si>
  <si>
    <t xml:space="preserve">                              SLIP GAJI KARYAWAN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</si>
</sst>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_(* #,##0_);_(* \(#,##0\);_(* \-??_);_(@_)"/>
  </numFmts>
  <fonts count="19" x14ac:knownFonts="1">
    <font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sz val="10"/>
      <color theme="1"/>
      <name val="Calibri"/>
      <family val="2"/>
      <charset val="1"/>
    </font>
    <font>
      <b/>
      <sz val="1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2"/>
      <color rgb="FFFF0000"/>
      <name val="Calibri"/>
      <family val="2"/>
      <charset val="1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333333"/>
      <name val="Arial"/>
      <family val="2"/>
    </font>
    <font>
      <sz val="10"/>
      <color rgb="FF008000"/>
      <name val="Arial"/>
      <family val="2"/>
    </font>
    <font>
      <b/>
      <sz val="10"/>
      <color rgb="FFFFFFFF"/>
      <name val="Arial"/>
      <family val="2"/>
    </font>
    <font>
      <sz val="10"/>
      <color rgb="FF333333"/>
      <name val="Arial"/>
      <family val="2"/>
    </font>
    <font>
      <b/>
      <sz val="10"/>
      <color rgb="FF1F4E79"/>
      <name val="Arial"/>
      <family val="2"/>
    </font>
    <font>
      <b/>
      <sz val="10"/>
      <color rgb="FF000000"/>
      <name val="Arial"/>
      <family val="2"/>
    </font>
    <font>
      <b/>
      <sz val="10"/>
      <color rgb="FFC0392B"/>
      <name val="Arial"/>
      <family val="2"/>
    </font>
    <font>
      <b/>
      <sz val="12"/>
      <color rgb="FFFFFFFF"/>
      <name val="Arial"/>
      <family val="2"/>
    </font>
    <font>
      <i/>
      <sz val="8"/>
      <color rgb="FF888888"/>
      <name val="Arial"/>
      <family val="2"/>
    </font>
    <font>
      <sz val="11"/>
      <color theme="1"/>
      <name val="Calibri"/>
      <family val="2"/>
      <charset val="1"/>
    </font>
    <font>
      <b/>
      <sz val="22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2" tint="-0.249977111117893"/>
        <bgColor rgb="FFB0B0B0"/>
      </patternFill>
    </fill>
    <fill>
      <patternFill patternType="solid">
        <fgColor theme="9" tint="0.59987182226020086"/>
        <bgColor rgb="FFF5D6D6"/>
      </patternFill>
    </fill>
    <fill>
      <patternFill patternType="solid">
        <fgColor theme="4" tint="0.79989013336588644"/>
        <bgColor rgb="FFD6E4F0"/>
      </patternFill>
    </fill>
    <fill>
      <patternFill patternType="solid">
        <fgColor rgb="FFFF0000"/>
        <bgColor rgb="FFC0392B"/>
      </patternFill>
    </fill>
    <fill>
      <patternFill patternType="solid">
        <fgColor rgb="FF2E75B6"/>
        <bgColor rgb="FF0066CC"/>
      </patternFill>
    </fill>
    <fill>
      <patternFill patternType="solid">
        <fgColor rgb="FFF2F7FB"/>
        <bgColor rgb="FFFFFFFF"/>
      </patternFill>
    </fill>
    <fill>
      <patternFill patternType="solid">
        <fgColor rgb="FFFFFFFF"/>
        <bgColor rgb="FFF2F7FB"/>
      </patternFill>
    </fill>
    <fill>
      <patternFill patternType="solid">
        <fgColor rgb="FFC0392B"/>
        <bgColor rgb="FF993366"/>
      </patternFill>
    </fill>
    <fill>
      <patternFill patternType="solid">
        <fgColor rgb="FFD6E4F0"/>
        <bgColor rgb="FFDCE6F2"/>
      </patternFill>
    </fill>
    <fill>
      <patternFill patternType="solid">
        <fgColor rgb="FFF5D6D6"/>
        <bgColor rgb="FFFCD5B5"/>
      </patternFill>
    </fill>
    <fill>
      <patternFill patternType="solid">
        <fgColor rgb="FF27AE60"/>
        <bgColor rgb="FF008080"/>
      </patternFill>
    </fill>
    <fill>
      <patternFill patternType="solid">
        <fgColor theme="4" tint="0.39997558519241921"/>
        <bgColor rgb="FF0066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 style="medium">
        <color rgb="FF1F4E79"/>
      </bottom>
      <diagonal/>
    </border>
  </borders>
  <cellStyleXfs count="3">
    <xf numFmtId="0" fontId="0" fillId="0" borderId="0"/>
    <xf numFmtId="164" fontId="17" fillId="0" borderId="0"/>
    <xf numFmtId="9" fontId="17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17" fillId="0" borderId="0" xfId="1"/>
    <xf numFmtId="0" fontId="17" fillId="0" borderId="0" xfId="1" applyNumberFormat="1" applyAlignment="1">
      <alignment horizontal="center"/>
    </xf>
    <xf numFmtId="165" fontId="17" fillId="0" borderId="0" xfId="1" applyNumberFormat="1"/>
    <xf numFmtId="0" fontId="2" fillId="0" borderId="0" xfId="0" applyFont="1"/>
    <xf numFmtId="164" fontId="2" fillId="0" borderId="0" xfId="1" applyFont="1"/>
    <xf numFmtId="0" fontId="2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center" vertical="center" wrapText="1"/>
    </xf>
    <xf numFmtId="165" fontId="2" fillId="0" borderId="0" xfId="1" applyNumberFormat="1" applyFont="1"/>
    <xf numFmtId="165" fontId="0" fillId="0" borderId="0" xfId="0" applyNumberFormat="1"/>
    <xf numFmtId="9" fontId="17" fillId="0" borderId="0" xfId="1" applyNumberFormat="1"/>
    <xf numFmtId="164" fontId="17" fillId="0" borderId="0" xfId="1" applyAlignment="1">
      <alignment horizontal="center"/>
    </xf>
    <xf numFmtId="9" fontId="1" fillId="3" borderId="0" xfId="2" applyFont="1" applyFill="1" applyAlignment="1">
      <alignment horizontal="center"/>
    </xf>
    <xf numFmtId="9" fontId="1" fillId="4" borderId="0" xfId="2" applyFont="1" applyFill="1" applyAlignment="1">
      <alignment horizontal="center"/>
    </xf>
    <xf numFmtId="9" fontId="1" fillId="0" borderId="0" xfId="2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1" applyNumberFormat="1" applyFont="1" applyBorder="1" applyAlignment="1">
      <alignment horizontal="center" vertical="center" wrapText="1"/>
    </xf>
    <xf numFmtId="164" fontId="1" fillId="2" borderId="1" xfId="1" applyFont="1" applyFill="1" applyBorder="1" applyAlignment="1">
      <alignment horizontal="center" vertical="center" wrapText="1"/>
    </xf>
    <xf numFmtId="164" fontId="4" fillId="0" borderId="1" xfId="1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165" fontId="1" fillId="0" borderId="1" xfId="1" applyNumberFormat="1" applyFont="1" applyBorder="1" applyAlignment="1">
      <alignment horizontal="center" vertical="center" wrapText="1"/>
    </xf>
    <xf numFmtId="165" fontId="1" fillId="2" borderId="1" xfId="1" applyNumberFormat="1" applyFont="1" applyFill="1" applyBorder="1" applyAlignment="1">
      <alignment horizontal="center" vertical="center" wrapText="1"/>
    </xf>
    <xf numFmtId="164" fontId="4" fillId="2" borderId="1" xfId="1" applyFont="1" applyFill="1" applyBorder="1" applyAlignment="1">
      <alignment horizontal="center" vertical="center" wrapText="1"/>
    </xf>
    <xf numFmtId="165" fontId="17" fillId="0" borderId="0" xfId="1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164" fontId="17" fillId="0" borderId="1" xfId="1" applyBorder="1"/>
    <xf numFmtId="0" fontId="17" fillId="0" borderId="1" xfId="1" applyNumberFormat="1" applyBorder="1" applyAlignment="1">
      <alignment horizontal="center"/>
    </xf>
    <xf numFmtId="164" fontId="17" fillId="2" borderId="1" xfId="1" applyFill="1" applyBorder="1"/>
    <xf numFmtId="165" fontId="17" fillId="0" borderId="1" xfId="1" applyNumberFormat="1" applyBorder="1"/>
    <xf numFmtId="165" fontId="17" fillId="2" borderId="1" xfId="1" applyNumberFormat="1" applyFill="1" applyBorder="1"/>
    <xf numFmtId="164" fontId="17" fillId="5" borderId="1" xfId="1" applyFill="1" applyBorder="1"/>
    <xf numFmtId="165" fontId="17" fillId="5" borderId="1" xfId="1" applyNumberFormat="1" applyFill="1" applyBorder="1"/>
    <xf numFmtId="0" fontId="4" fillId="0" borderId="0" xfId="0" applyFont="1"/>
    <xf numFmtId="164" fontId="4" fillId="0" borderId="0" xfId="1" applyFont="1"/>
    <xf numFmtId="0" fontId="4" fillId="0" borderId="0" xfId="1" applyNumberFormat="1" applyFont="1" applyAlignment="1">
      <alignment horizontal="center"/>
    </xf>
    <xf numFmtId="165" fontId="4" fillId="0" borderId="0" xfId="1" applyNumberFormat="1" applyFont="1"/>
    <xf numFmtId="165" fontId="5" fillId="0" borderId="0" xfId="1" applyNumberFormat="1" applyFont="1" applyAlignment="1">
      <alignment horizontal="left" vertical="center"/>
    </xf>
    <xf numFmtId="0" fontId="5" fillId="0" borderId="0" xfId="1" applyNumberFormat="1" applyFont="1" applyAlignment="1">
      <alignment horizontal="left" vertical="center"/>
    </xf>
    <xf numFmtId="0" fontId="8" fillId="7" borderId="2" xfId="0" applyFont="1" applyFill="1" applyBorder="1" applyAlignment="1">
      <alignment horizontal="left" vertical="center"/>
    </xf>
    <xf numFmtId="49" fontId="9" fillId="7" borderId="2" xfId="0" applyNumberFormat="1" applyFont="1" applyFill="1" applyBorder="1" applyAlignment="1">
      <alignment horizontal="left" vertical="center"/>
    </xf>
    <xf numFmtId="0" fontId="0" fillId="7" borderId="2" xfId="0" applyFill="1" applyBorder="1"/>
    <xf numFmtId="0" fontId="9" fillId="7" borderId="2" xfId="0" applyFont="1" applyFill="1" applyBorder="1" applyAlignment="1">
      <alignment horizontal="left" vertical="center"/>
    </xf>
    <xf numFmtId="0" fontId="0" fillId="8" borderId="0" xfId="0" applyFill="1"/>
    <xf numFmtId="0" fontId="11" fillId="7" borderId="2" xfId="0" applyFont="1" applyFill="1" applyBorder="1" applyAlignment="1">
      <alignment horizontal="left" vertical="center"/>
    </xf>
    <xf numFmtId="3" fontId="9" fillId="7" borderId="2" xfId="0" applyNumberFormat="1" applyFont="1" applyFill="1" applyBorder="1" applyAlignment="1">
      <alignment horizontal="right" vertical="center"/>
    </xf>
    <xf numFmtId="0" fontId="11" fillId="8" borderId="2" xfId="0" applyFont="1" applyFill="1" applyBorder="1" applyAlignment="1">
      <alignment horizontal="left" vertical="center"/>
    </xf>
    <xf numFmtId="3" fontId="9" fillId="8" borderId="2" xfId="0" applyNumberFormat="1" applyFont="1" applyFill="1" applyBorder="1" applyAlignment="1">
      <alignment horizontal="right" vertical="center"/>
    </xf>
    <xf numFmtId="0" fontId="12" fillId="10" borderId="2" xfId="0" applyFont="1" applyFill="1" applyBorder="1" applyAlignment="1">
      <alignment horizontal="left" vertical="center"/>
    </xf>
    <xf numFmtId="3" fontId="13" fillId="10" borderId="2" xfId="0" applyNumberFormat="1" applyFont="1" applyFill="1" applyBorder="1" applyAlignment="1">
      <alignment horizontal="right" vertical="center"/>
    </xf>
    <xf numFmtId="0" fontId="14" fillId="11" borderId="2" xfId="0" applyFont="1" applyFill="1" applyBorder="1" applyAlignment="1">
      <alignment horizontal="left" vertical="center"/>
    </xf>
    <xf numFmtId="3" fontId="14" fillId="11" borderId="2" xfId="0" applyNumberFormat="1" applyFont="1" applyFill="1" applyBorder="1" applyAlignment="1">
      <alignment horizontal="right" vertical="center"/>
    </xf>
    <xf numFmtId="3" fontId="15" fillId="12" borderId="0" xfId="0" applyNumberFormat="1" applyFont="1" applyFill="1" applyAlignment="1">
      <alignment horizontal="right" vertical="center"/>
    </xf>
    <xf numFmtId="0" fontId="0" fillId="0" borderId="3" xfId="0" applyBorder="1"/>
    <xf numFmtId="0" fontId="3" fillId="2" borderId="0" xfId="0" applyFont="1" applyFill="1" applyAlignment="1">
      <alignment horizontal="center" vertical="center" wrapText="1"/>
    </xf>
    <xf numFmtId="0" fontId="15" fillId="12" borderId="0" xfId="0" applyFont="1" applyFill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13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888888"/>
      <rgbColor rgb="FF9999FF"/>
      <rgbColor rgb="FF993366"/>
      <rgbColor rgb="FFF2F7FB"/>
      <rgbColor rgb="FFDCE6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5D6D6"/>
      <rgbColor rgb="FF99CCFF"/>
      <rgbColor rgb="FFFF99CC"/>
      <rgbColor rgb="FFCC99FF"/>
      <rgbColor rgb="FFFCD5B5"/>
      <rgbColor rgb="FF2E75B6"/>
      <rgbColor rgb="FF33CCCC"/>
      <rgbColor rgb="FF99CC00"/>
      <rgbColor rgb="FFFFCC00"/>
      <rgbColor rgb="FFFF9900"/>
      <rgbColor rgb="FFFF6600"/>
      <rgbColor rgb="FF666699"/>
      <rgbColor rgb="FFB0B0B0"/>
      <rgbColor rgb="FF003366"/>
      <rgbColor rgb="FF27AE60"/>
      <rgbColor rgb="FF003300"/>
      <rgbColor rgb="FF333300"/>
      <rgbColor rgb="FFC0392B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146051</xdr:colOff>
      <xdr:row>0</xdr:row>
      <xdr:rowOff>95250</xdr:rowOff>
    </xdr:from>
    <xdr:to>
      <xdr:col>0</xdr:col>
      <xdr:colOff>1528425</xdr:colOff>
      <xdr:row>0</xdr:row>
      <xdr:rowOff>820172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4D21B5-0C4D-A26C-D699-EE5F6B575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1" y="95250"/>
          <a:ext cx="1382374" cy="724922"/>
        </a:xfrm>
        <a:prstGeom prst="rect">
          <a:avLst/>
        </a:prstGeom>
      </xdr:spPr>
    </xdr:pic>
    <xdr:clientData/>
  </xdr:twoCellAnchor>
  <xdr:oneCellAnchor>
    <xdr:from>
      <xdr:col>0</xdr:col>
      <xdr:colOff>146051</xdr:colOff>
      <xdr:row>20</xdr:row>
      <xdr:rowOff>95250</xdr:rowOff>
    </xdr:from>
    <xdr:ext cx="1382374" cy="724922"/>
    <xdr:pic>
      <xdr:nvPicPr>
        <xdr:cNvPr id="5" name="Picture 4">
          <a:extLst>
            <a:ext uri="{FF2B5EF4-FFF2-40B4-BE49-F238E27FC236}">
              <a16:creationId xmlns:a16="http://schemas.microsoft.com/office/drawing/2014/main" id="{FB771AA8-FE98-4DDE-89A6-00E2D6BC7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1" y="95250"/>
          <a:ext cx="1382374" cy="724922"/>
        </a:xfrm>
        <a:prstGeom prst="rect">
          <a:avLst/>
        </a:prstGeom>
      </xdr:spPr>
    </xdr:pic>
    <xdr:clientData/>
  </xdr:oneCellAnchor>
  <xdr:oneCellAnchor>
    <xdr:from>
      <xdr:col>0</xdr:col>
      <xdr:colOff>146051</xdr:colOff>
      <xdr:row>40</xdr:row>
      <xdr:rowOff>95250</xdr:rowOff>
    </xdr:from>
    <xdr:ext cx="1382374" cy="724922"/>
    <xdr:pic>
      <xdr:nvPicPr>
        <xdr:cNvPr id="6" name="Picture 5">
          <a:extLst>
            <a:ext uri="{FF2B5EF4-FFF2-40B4-BE49-F238E27FC236}">
              <a16:creationId xmlns:a16="http://schemas.microsoft.com/office/drawing/2014/main" id="{E7ADF41B-E5CB-4E72-9E4B-4A8B5F862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1" y="95250"/>
          <a:ext cx="1382374" cy="724922"/>
        </a:xfrm>
        <a:prstGeom prst="rect">
          <a:avLst/>
        </a:prstGeom>
      </xdr:spPr>
    </xdr:pic>
    <xdr:clientData/>
  </xdr:oneCellAnchor>
  <xdr:oneCellAnchor>
    <xdr:from>
      <xdr:col>0</xdr:col>
      <xdr:colOff>146051</xdr:colOff>
      <xdr:row>60</xdr:row>
      <xdr:rowOff>95250</xdr:rowOff>
    </xdr:from>
    <xdr:ext cx="1382374" cy="724922"/>
    <xdr:pic>
      <xdr:nvPicPr>
        <xdr:cNvPr id="7" name="Picture 6">
          <a:extLst>
            <a:ext uri="{FF2B5EF4-FFF2-40B4-BE49-F238E27FC236}">
              <a16:creationId xmlns:a16="http://schemas.microsoft.com/office/drawing/2014/main" id="{E5CCAF42-6DE7-4EFA-9354-A6B55FDF8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1" y="95250"/>
          <a:ext cx="1382374" cy="724922"/>
        </a:xfrm>
        <a:prstGeom prst="rect">
          <a:avLst/>
        </a:prstGeom>
      </xdr:spPr>
    </xdr:pic>
    <xdr:clientData/>
  </xdr:oneCellAnchor>
  <xdr:oneCellAnchor>
    <xdr:from>
      <xdr:col>0</xdr:col>
      <xdr:colOff>146051</xdr:colOff>
      <xdr:row>80</xdr:row>
      <xdr:rowOff>95250</xdr:rowOff>
    </xdr:from>
    <xdr:ext cx="1382374" cy="724922"/>
    <xdr:pic>
      <xdr:nvPicPr>
        <xdr:cNvPr id="8" name="Picture 7">
          <a:extLst>
            <a:ext uri="{FF2B5EF4-FFF2-40B4-BE49-F238E27FC236}">
              <a16:creationId xmlns:a16="http://schemas.microsoft.com/office/drawing/2014/main" id="{9C380192-CF7B-4FE4-AF3E-86233EF67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1" y="95250"/>
          <a:ext cx="1382374" cy="724922"/>
        </a:xfrm>
        <a:prstGeom prst="rect">
          <a:avLst/>
        </a:prstGeom>
      </xdr:spPr>
    </xdr:pic>
    <xdr:clientData/>
  </xdr:oneCellAnchor>
  <xdr:oneCellAnchor>
    <xdr:from>
      <xdr:col>0</xdr:col>
      <xdr:colOff>146051</xdr:colOff>
      <xdr:row>100</xdr:row>
      <xdr:rowOff>95250</xdr:rowOff>
    </xdr:from>
    <xdr:ext cx="1382374" cy="724922"/>
    <xdr:pic>
      <xdr:nvPicPr>
        <xdr:cNvPr id="9" name="Picture 8">
          <a:extLst>
            <a:ext uri="{FF2B5EF4-FFF2-40B4-BE49-F238E27FC236}">
              <a16:creationId xmlns:a16="http://schemas.microsoft.com/office/drawing/2014/main" id="{356C0CEB-9EEE-403B-A63E-45988EBE7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1" y="95250"/>
          <a:ext cx="1382374" cy="724922"/>
        </a:xfrm>
        <a:prstGeom prst="rect">
          <a:avLst/>
        </a:prstGeom>
      </xdr:spPr>
    </xdr:pic>
    <xdr:clientData/>
  </xdr:oneCellAnchor>
  <xdr:oneCellAnchor>
    <xdr:from>
      <xdr:col>0</xdr:col>
      <xdr:colOff>146051</xdr:colOff>
      <xdr:row>120</xdr:row>
      <xdr:rowOff>95250</xdr:rowOff>
    </xdr:from>
    <xdr:ext cx="1382374" cy="724922"/>
    <xdr:pic>
      <xdr:nvPicPr>
        <xdr:cNvPr id="10" name="Picture 9">
          <a:extLst>
            <a:ext uri="{FF2B5EF4-FFF2-40B4-BE49-F238E27FC236}">
              <a16:creationId xmlns:a16="http://schemas.microsoft.com/office/drawing/2014/main" id="{353DFF8A-9D61-4F3B-A2B4-959FD5D0E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1" y="95250"/>
          <a:ext cx="1382374" cy="724922"/>
        </a:xfrm>
        <a:prstGeom prst="rect">
          <a:avLst/>
        </a:prstGeom>
      </xdr:spPr>
    </xdr:pic>
    <xdr:clientData/>
  </xdr:oneCellAnchor>
  <xdr:oneCellAnchor>
    <xdr:from>
      <xdr:col>0</xdr:col>
      <xdr:colOff>146051</xdr:colOff>
      <xdr:row>140</xdr:row>
      <xdr:rowOff>95250</xdr:rowOff>
    </xdr:from>
    <xdr:ext cx="1382374" cy="724922"/>
    <xdr:pic>
      <xdr:nvPicPr>
        <xdr:cNvPr id="11" name="Picture 10">
          <a:extLst>
            <a:ext uri="{FF2B5EF4-FFF2-40B4-BE49-F238E27FC236}">
              <a16:creationId xmlns:a16="http://schemas.microsoft.com/office/drawing/2014/main" id="{FE47EB8B-3E40-46E2-9870-CD6BCCDB5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1" y="95250"/>
          <a:ext cx="1382374" cy="724922"/>
        </a:xfrm>
        <a:prstGeom prst="rect">
          <a:avLst/>
        </a:prstGeom>
      </xdr:spPr>
    </xdr:pic>
    <xdr:clientData/>
  </xdr:oneCellAnchor>
  <xdr:oneCellAnchor>
    <xdr:from>
      <xdr:col>0</xdr:col>
      <xdr:colOff>146051</xdr:colOff>
      <xdr:row>160</xdr:row>
      <xdr:rowOff>95250</xdr:rowOff>
    </xdr:from>
    <xdr:ext cx="1382374" cy="724922"/>
    <xdr:pic>
      <xdr:nvPicPr>
        <xdr:cNvPr id="12" name="Picture 11">
          <a:extLst>
            <a:ext uri="{FF2B5EF4-FFF2-40B4-BE49-F238E27FC236}">
              <a16:creationId xmlns:a16="http://schemas.microsoft.com/office/drawing/2014/main" id="{CDD0B37E-1F92-47DB-88B6-2EF1BC8DF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1" y="95250"/>
          <a:ext cx="1382374" cy="724922"/>
        </a:xfrm>
        <a:prstGeom prst="rect">
          <a:avLst/>
        </a:prstGeom>
      </xdr:spPr>
    </xdr:pic>
    <xdr:clientData/>
  </xdr:oneCellAnchor>
  <xdr:oneCellAnchor>
    <xdr:from>
      <xdr:col>0</xdr:col>
      <xdr:colOff>146051</xdr:colOff>
      <xdr:row>180</xdr:row>
      <xdr:rowOff>95250</xdr:rowOff>
    </xdr:from>
    <xdr:ext cx="1382374" cy="724922"/>
    <xdr:pic>
      <xdr:nvPicPr>
        <xdr:cNvPr id="13" name="Picture 12">
          <a:extLst>
            <a:ext uri="{FF2B5EF4-FFF2-40B4-BE49-F238E27FC236}">
              <a16:creationId xmlns:a16="http://schemas.microsoft.com/office/drawing/2014/main" id="{5253E972-362F-4A76-B239-0E90C8342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1" y="95250"/>
          <a:ext cx="1382374" cy="724922"/>
        </a:xfrm>
        <a:prstGeom prst="rect">
          <a:avLst/>
        </a:prstGeom>
      </xdr:spPr>
    </xdr:pic>
    <xdr:clientData/>
  </xdr:oneCellAnchor>
  <xdr:oneCellAnchor>
    <xdr:from>
      <xdr:col>0</xdr:col>
      <xdr:colOff>146051</xdr:colOff>
      <xdr:row>200</xdr:row>
      <xdr:rowOff>95250</xdr:rowOff>
    </xdr:from>
    <xdr:ext cx="1382374" cy="724922"/>
    <xdr:pic>
      <xdr:nvPicPr>
        <xdr:cNvPr id="14" name="Picture 13">
          <a:extLst>
            <a:ext uri="{FF2B5EF4-FFF2-40B4-BE49-F238E27FC236}">
              <a16:creationId xmlns:a16="http://schemas.microsoft.com/office/drawing/2014/main" id="{F4BD0471-29B7-4353-A250-62386B190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1" y="95250"/>
          <a:ext cx="1382374" cy="724922"/>
        </a:xfrm>
        <a:prstGeom prst="rect">
          <a:avLst/>
        </a:prstGeom>
      </xdr:spPr>
    </xdr:pic>
    <xdr:clientData/>
  </xdr:oneCellAnchor>
  <xdr:oneCellAnchor>
    <xdr:from>
      <xdr:col>0</xdr:col>
      <xdr:colOff>146051</xdr:colOff>
      <xdr:row>220</xdr:row>
      <xdr:rowOff>95250</xdr:rowOff>
    </xdr:from>
    <xdr:ext cx="1382374" cy="724922"/>
    <xdr:pic>
      <xdr:nvPicPr>
        <xdr:cNvPr id="15" name="Picture 14">
          <a:extLst>
            <a:ext uri="{FF2B5EF4-FFF2-40B4-BE49-F238E27FC236}">
              <a16:creationId xmlns:a16="http://schemas.microsoft.com/office/drawing/2014/main" id="{A32551F4-DD89-49F7-B68E-289B21EAD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1" y="95250"/>
          <a:ext cx="1382374" cy="724922"/>
        </a:xfrm>
        <a:prstGeom prst="rect">
          <a:avLst/>
        </a:prstGeom>
      </xdr:spPr>
    </xdr:pic>
    <xdr:clientData/>
  </xdr:oneCellAnchor>
  <xdr:oneCellAnchor>
    <xdr:from>
      <xdr:col>0</xdr:col>
      <xdr:colOff>146051</xdr:colOff>
      <xdr:row>240</xdr:row>
      <xdr:rowOff>95250</xdr:rowOff>
    </xdr:from>
    <xdr:ext cx="1382374" cy="724922"/>
    <xdr:pic>
      <xdr:nvPicPr>
        <xdr:cNvPr id="16" name="Picture 15">
          <a:extLst>
            <a:ext uri="{FF2B5EF4-FFF2-40B4-BE49-F238E27FC236}">
              <a16:creationId xmlns:a16="http://schemas.microsoft.com/office/drawing/2014/main" id="{B0B7F6AB-0F73-4C2B-88E9-BD459F61E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1" y="95250"/>
          <a:ext cx="1382374" cy="724922"/>
        </a:xfrm>
        <a:prstGeom prst="rect">
          <a:avLst/>
        </a:prstGeom>
      </xdr:spPr>
    </xdr:pic>
    <xdr:clientData/>
  </xdr:oneCellAnchor>
  <xdr:oneCellAnchor>
    <xdr:from>
      <xdr:col>0</xdr:col>
      <xdr:colOff>146051</xdr:colOff>
      <xdr:row>260</xdr:row>
      <xdr:rowOff>95250</xdr:rowOff>
    </xdr:from>
    <xdr:ext cx="1382374" cy="724922"/>
    <xdr:pic>
      <xdr:nvPicPr>
        <xdr:cNvPr id="17" name="Picture 16">
          <a:extLst>
            <a:ext uri="{FF2B5EF4-FFF2-40B4-BE49-F238E27FC236}">
              <a16:creationId xmlns:a16="http://schemas.microsoft.com/office/drawing/2014/main" id="{6CA39251-CC33-49E1-9BED-57E817C63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1" y="28098750"/>
          <a:ext cx="1382374" cy="724922"/>
        </a:xfrm>
        <a:prstGeom prst="rect">
          <a:avLst/>
        </a:prstGeom>
      </xdr:spPr>
    </xdr:pic>
    <xdr:clientData/>
  </xdr:oneCellAnchor>
  <xdr:oneCellAnchor>
    <xdr:from>
      <xdr:col>0</xdr:col>
      <xdr:colOff>146051</xdr:colOff>
      <xdr:row>280</xdr:row>
      <xdr:rowOff>95250</xdr:rowOff>
    </xdr:from>
    <xdr:ext cx="1382374" cy="724922"/>
    <xdr:pic>
      <xdr:nvPicPr>
        <xdr:cNvPr id="18" name="Picture 17">
          <a:extLst>
            <a:ext uri="{FF2B5EF4-FFF2-40B4-BE49-F238E27FC236}">
              <a16:creationId xmlns:a16="http://schemas.microsoft.com/office/drawing/2014/main" id="{204B12D8-36F6-4733-90E3-A803C3612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1" y="28098750"/>
          <a:ext cx="1382374" cy="724922"/>
        </a:xfrm>
        <a:prstGeom prst="rect">
          <a:avLst/>
        </a:prstGeom>
      </xdr:spPr>
    </xdr:pic>
    <xdr:clientData/>
  </xdr:oneCellAnchor>
  <xdr:oneCellAnchor>
    <xdr:from>
      <xdr:col>0</xdr:col>
      <xdr:colOff>146051</xdr:colOff>
      <xdr:row>300</xdr:row>
      <xdr:rowOff>95250</xdr:rowOff>
    </xdr:from>
    <xdr:ext cx="1382374" cy="724922"/>
    <xdr:pic>
      <xdr:nvPicPr>
        <xdr:cNvPr id="19" name="Picture 18">
          <a:extLst>
            <a:ext uri="{FF2B5EF4-FFF2-40B4-BE49-F238E27FC236}">
              <a16:creationId xmlns:a16="http://schemas.microsoft.com/office/drawing/2014/main" id="{FC6F705C-ADC9-4FDD-A19E-7D702FCAA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1" y="28098750"/>
          <a:ext cx="1382374" cy="724922"/>
        </a:xfrm>
        <a:prstGeom prst="rect">
          <a:avLst/>
        </a:prstGeom>
      </xdr:spPr>
    </xdr:pic>
    <xdr:clientData/>
  </xdr:oneCellAnchor>
  <xdr:oneCellAnchor>
    <xdr:from>
      <xdr:col>0</xdr:col>
      <xdr:colOff>146051</xdr:colOff>
      <xdr:row>320</xdr:row>
      <xdr:rowOff>95250</xdr:rowOff>
    </xdr:from>
    <xdr:ext cx="1382374" cy="724922"/>
    <xdr:pic>
      <xdr:nvPicPr>
        <xdr:cNvPr id="20" name="Picture 19">
          <a:extLst>
            <a:ext uri="{FF2B5EF4-FFF2-40B4-BE49-F238E27FC236}">
              <a16:creationId xmlns:a16="http://schemas.microsoft.com/office/drawing/2014/main" id="{A1C76407-4AEF-404D-964E-049176A36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1" y="28098750"/>
          <a:ext cx="1382374" cy="724922"/>
        </a:xfrm>
        <a:prstGeom prst="rect">
          <a:avLst/>
        </a:prstGeom>
      </xdr:spPr>
    </xdr:pic>
    <xdr:clientData/>
  </xdr:oneCellAnchor>
  <xdr:oneCellAnchor>
    <xdr:from>
      <xdr:col>0</xdr:col>
      <xdr:colOff>146051</xdr:colOff>
      <xdr:row>340</xdr:row>
      <xdr:rowOff>95250</xdr:rowOff>
    </xdr:from>
    <xdr:ext cx="1382374" cy="724922"/>
    <xdr:pic>
      <xdr:nvPicPr>
        <xdr:cNvPr id="21" name="Picture 20">
          <a:extLst>
            <a:ext uri="{FF2B5EF4-FFF2-40B4-BE49-F238E27FC236}">
              <a16:creationId xmlns:a16="http://schemas.microsoft.com/office/drawing/2014/main" id="{EFABE21F-01A1-4FC1-A4FC-9A628D954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1" y="28098750"/>
          <a:ext cx="1382374" cy="724922"/>
        </a:xfrm>
        <a:prstGeom prst="rect">
          <a:avLst/>
        </a:prstGeom>
      </xdr:spPr>
    </xdr:pic>
    <xdr:clientData/>
  </xdr:oneCellAnchor>
  <xdr:oneCellAnchor>
    <xdr:from>
      <xdr:col>0</xdr:col>
      <xdr:colOff>146051</xdr:colOff>
      <xdr:row>360</xdr:row>
      <xdr:rowOff>95250</xdr:rowOff>
    </xdr:from>
    <xdr:ext cx="1382374" cy="724922"/>
    <xdr:pic>
      <xdr:nvPicPr>
        <xdr:cNvPr id="22" name="Picture 21">
          <a:extLst>
            <a:ext uri="{FF2B5EF4-FFF2-40B4-BE49-F238E27FC236}">
              <a16:creationId xmlns:a16="http://schemas.microsoft.com/office/drawing/2014/main" id="{6B7B22CD-6815-40EB-AFAF-DC820DAE1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1" y="28098750"/>
          <a:ext cx="1382374" cy="724922"/>
        </a:xfrm>
        <a:prstGeom prst="rect">
          <a:avLst/>
        </a:prstGeom>
      </xdr:spPr>
    </xdr:pic>
    <xdr:clientData/>
  </xdr:oneCellAnchor>
  <xdr:oneCellAnchor>
    <xdr:from>
      <xdr:col>0</xdr:col>
      <xdr:colOff>146051</xdr:colOff>
      <xdr:row>380</xdr:row>
      <xdr:rowOff>95250</xdr:rowOff>
    </xdr:from>
    <xdr:ext cx="1382374" cy="724922"/>
    <xdr:pic>
      <xdr:nvPicPr>
        <xdr:cNvPr id="23" name="Picture 22">
          <a:extLst>
            <a:ext uri="{FF2B5EF4-FFF2-40B4-BE49-F238E27FC236}">
              <a16:creationId xmlns:a16="http://schemas.microsoft.com/office/drawing/2014/main" id="{D734FD37-9D1C-41BA-9AAD-10E317AF5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1" y="28098750"/>
          <a:ext cx="1382374" cy="724922"/>
        </a:xfrm>
        <a:prstGeom prst="rect">
          <a:avLst/>
        </a:prstGeom>
      </xdr:spPr>
    </xdr:pic>
    <xdr:clientData/>
  </xdr:oneCellAnchor>
  <xdr:oneCellAnchor>
    <xdr:from>
      <xdr:col>0</xdr:col>
      <xdr:colOff>146051</xdr:colOff>
      <xdr:row>400</xdr:row>
      <xdr:rowOff>95250</xdr:rowOff>
    </xdr:from>
    <xdr:ext cx="1382374" cy="724922"/>
    <xdr:pic>
      <xdr:nvPicPr>
        <xdr:cNvPr id="24" name="Picture 23">
          <a:extLst>
            <a:ext uri="{FF2B5EF4-FFF2-40B4-BE49-F238E27FC236}">
              <a16:creationId xmlns:a16="http://schemas.microsoft.com/office/drawing/2014/main" id="{11D56E71-6A8C-434A-8527-E133E41DD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1" y="28098750"/>
          <a:ext cx="1382374" cy="72492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opLeftCell="A12" zoomScaleNormal="100" workbookViewId="0">
      <selection activeCell="C19" sqref="C19"/>
    </sheetView>
  </sheetViews>
  <sheetFormatPr defaultColWidth="8.6328125" defaultRowHeight="14.5" x14ac:dyDescent="0.35"/>
  <cols>
    <col min="1" max="1" width="18" customWidth="1"/>
    <col min="2" max="2" width="27.08984375" customWidth="1"/>
    <col min="3" max="3" width="18" customWidth="1"/>
    <col min="4" max="4" width="14.54296875" customWidth="1"/>
    <col min="5" max="5" width="14.36328125" customWidth="1"/>
    <col min="6" max="6" width="15.7265625" style="1" customWidth="1"/>
  </cols>
  <sheetData>
    <row r="1" spans="1:6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t="s">
        <v>6</v>
      </c>
      <c r="B2" t="s">
        <v>7</v>
      </c>
      <c r="C2" t="s">
        <v>8</v>
      </c>
      <c r="D2" s="3">
        <v>18000000</v>
      </c>
      <c r="E2" s="3">
        <v>220000</v>
      </c>
      <c r="F2" s="1" t="s">
        <v>9</v>
      </c>
    </row>
    <row r="3" spans="1:6" x14ac:dyDescent="0.35">
      <c r="A3" t="s">
        <v>10</v>
      </c>
      <c r="B3" t="s">
        <v>11</v>
      </c>
      <c r="C3" t="s">
        <v>8</v>
      </c>
      <c r="D3" s="3">
        <v>6000000</v>
      </c>
      <c r="E3" s="3">
        <v>220000</v>
      </c>
      <c r="F3" s="1" t="s">
        <v>12</v>
      </c>
    </row>
    <row r="4" spans="1:6" x14ac:dyDescent="0.35">
      <c r="A4" t="s">
        <v>13</v>
      </c>
      <c r="B4" t="s">
        <v>14</v>
      </c>
      <c r="C4" t="s">
        <v>8</v>
      </c>
      <c r="D4" s="3">
        <v>5730000</v>
      </c>
      <c r="E4" s="3">
        <v>220000</v>
      </c>
    </row>
    <row r="5" spans="1:6" x14ac:dyDescent="0.35">
      <c r="A5" t="s">
        <v>15</v>
      </c>
      <c r="B5" t="s">
        <v>16</v>
      </c>
      <c r="C5" t="s">
        <v>17</v>
      </c>
      <c r="D5" s="3">
        <v>7000000</v>
      </c>
      <c r="E5" s="3">
        <v>220000</v>
      </c>
      <c r="F5" s="1" t="s">
        <v>9</v>
      </c>
    </row>
    <row r="6" spans="1:6" x14ac:dyDescent="0.35">
      <c r="A6" t="s">
        <v>18</v>
      </c>
      <c r="B6" t="s">
        <v>19</v>
      </c>
      <c r="C6" t="s">
        <v>20</v>
      </c>
      <c r="D6" s="3">
        <v>5000000</v>
      </c>
      <c r="E6" s="3">
        <v>220000</v>
      </c>
      <c r="F6" s="1" t="s">
        <v>9</v>
      </c>
    </row>
    <row r="7" spans="1:6" x14ac:dyDescent="0.35">
      <c r="A7" t="s">
        <v>21</v>
      </c>
      <c r="B7" t="s">
        <v>22</v>
      </c>
      <c r="C7" t="s">
        <v>23</v>
      </c>
      <c r="D7" s="3">
        <v>7000000</v>
      </c>
      <c r="E7" s="3">
        <v>220000</v>
      </c>
      <c r="F7" s="1" t="s">
        <v>9</v>
      </c>
    </row>
    <row r="8" spans="1:6" x14ac:dyDescent="0.35">
      <c r="A8" t="s">
        <v>24</v>
      </c>
      <c r="B8" t="s">
        <v>25</v>
      </c>
      <c r="C8" t="s">
        <v>26</v>
      </c>
      <c r="D8" s="3">
        <v>7000000</v>
      </c>
      <c r="E8" s="3">
        <v>220000</v>
      </c>
      <c r="F8" s="1" t="s">
        <v>9</v>
      </c>
    </row>
    <row r="9" spans="1:6" x14ac:dyDescent="0.35">
      <c r="A9" t="s">
        <v>27</v>
      </c>
      <c r="B9" t="s">
        <v>28</v>
      </c>
      <c r="C9" t="s">
        <v>26</v>
      </c>
      <c r="D9" s="3">
        <v>4500000</v>
      </c>
      <c r="E9" s="3">
        <v>220000</v>
      </c>
      <c r="F9" s="1" t="s">
        <v>9</v>
      </c>
    </row>
    <row r="10" spans="1:6" x14ac:dyDescent="0.35">
      <c r="A10" t="s">
        <v>29</v>
      </c>
      <c r="B10" t="s">
        <v>30</v>
      </c>
      <c r="C10" t="s">
        <v>26</v>
      </c>
      <c r="D10" s="3">
        <v>5000000</v>
      </c>
      <c r="E10" s="3">
        <v>220000</v>
      </c>
      <c r="F10" s="1" t="s">
        <v>9</v>
      </c>
    </row>
    <row r="11" spans="1:6" x14ac:dyDescent="0.35">
      <c r="A11" t="s">
        <v>31</v>
      </c>
      <c r="B11" t="s">
        <v>32</v>
      </c>
      <c r="C11" t="s">
        <v>33</v>
      </c>
      <c r="D11" s="3">
        <v>4000000</v>
      </c>
      <c r="E11" s="3">
        <v>220000</v>
      </c>
      <c r="F11" s="1" t="s">
        <v>9</v>
      </c>
    </row>
    <row r="12" spans="1:6" x14ac:dyDescent="0.35">
      <c r="A12" t="s">
        <v>34</v>
      </c>
      <c r="B12" t="s">
        <v>35</v>
      </c>
      <c r="C12" t="s">
        <v>26</v>
      </c>
      <c r="D12" s="3">
        <v>5000000</v>
      </c>
      <c r="E12" s="3">
        <v>220000</v>
      </c>
      <c r="F12" s="1" t="s">
        <v>9</v>
      </c>
    </row>
    <row r="13" spans="1:6" x14ac:dyDescent="0.35">
      <c r="A13" t="s">
        <v>36</v>
      </c>
      <c r="B13" t="s">
        <v>37</v>
      </c>
      <c r="C13" t="s">
        <v>26</v>
      </c>
      <c r="D13" s="3">
        <v>2500000</v>
      </c>
      <c r="E13" s="3">
        <v>220000</v>
      </c>
    </row>
    <row r="14" spans="1:6" x14ac:dyDescent="0.35">
      <c r="A14" t="s">
        <v>38</v>
      </c>
      <c r="B14" t="s">
        <v>39</v>
      </c>
      <c r="C14" t="s">
        <v>26</v>
      </c>
      <c r="D14" s="3">
        <v>3500000</v>
      </c>
      <c r="E14" s="3">
        <v>220000</v>
      </c>
    </row>
    <row r="15" spans="1:6" x14ac:dyDescent="0.35">
      <c r="A15" t="s">
        <v>40</v>
      </c>
      <c r="B15" t="s">
        <v>41</v>
      </c>
      <c r="C15" t="s">
        <v>26</v>
      </c>
      <c r="D15" s="3">
        <v>2500000</v>
      </c>
      <c r="E15" s="3">
        <v>220000</v>
      </c>
      <c r="F15" s="1" t="s">
        <v>9</v>
      </c>
    </row>
    <row r="16" spans="1:6" x14ac:dyDescent="0.35">
      <c r="A16" t="s">
        <v>42</v>
      </c>
      <c r="B16" t="s">
        <v>43</v>
      </c>
      <c r="C16" t="s">
        <v>44</v>
      </c>
      <c r="D16" s="3">
        <v>5000000</v>
      </c>
      <c r="E16" s="3">
        <v>220000</v>
      </c>
      <c r="F16" s="1" t="s">
        <v>9</v>
      </c>
    </row>
    <row r="17" spans="1:6" x14ac:dyDescent="0.35">
      <c r="A17" t="s">
        <v>45</v>
      </c>
      <c r="B17" t="s">
        <v>46</v>
      </c>
      <c r="C17" t="s">
        <v>44</v>
      </c>
      <c r="D17" s="3">
        <v>4500000</v>
      </c>
      <c r="E17" s="3">
        <v>220000</v>
      </c>
      <c r="F17" s="1" t="s">
        <v>9</v>
      </c>
    </row>
    <row r="18" spans="1:6" x14ac:dyDescent="0.35">
      <c r="A18" t="s">
        <v>47</v>
      </c>
      <c r="B18" t="s">
        <v>48</v>
      </c>
      <c r="C18" t="s">
        <v>44</v>
      </c>
      <c r="D18" s="3">
        <v>4000000</v>
      </c>
      <c r="E18" s="3">
        <v>220000</v>
      </c>
      <c r="F18" s="1" t="s">
        <v>9</v>
      </c>
    </row>
    <row r="19" spans="1:6" x14ac:dyDescent="0.35">
      <c r="A19" t="s">
        <v>49</v>
      </c>
      <c r="B19" t="s">
        <v>50</v>
      </c>
      <c r="C19" t="s">
        <v>44</v>
      </c>
      <c r="D19" s="3">
        <v>3230000</v>
      </c>
      <c r="E19" s="3">
        <v>220000</v>
      </c>
    </row>
    <row r="20" spans="1:6" x14ac:dyDescent="0.35">
      <c r="A20" t="s">
        <v>51</v>
      </c>
      <c r="B20" t="s">
        <v>52</v>
      </c>
      <c r="C20" t="s">
        <v>53</v>
      </c>
      <c r="D20" s="3">
        <v>4500000</v>
      </c>
      <c r="E20" s="3">
        <v>220000</v>
      </c>
      <c r="F20" s="1" t="s">
        <v>54</v>
      </c>
    </row>
    <row r="21" spans="1:6" x14ac:dyDescent="0.35">
      <c r="A21" t="s">
        <v>55</v>
      </c>
      <c r="B21" t="s">
        <v>56</v>
      </c>
      <c r="C21" t="s">
        <v>53</v>
      </c>
      <c r="D21" s="3">
        <v>3500000</v>
      </c>
      <c r="E21" s="3">
        <v>220000</v>
      </c>
      <c r="F21" s="1" t="s">
        <v>57</v>
      </c>
    </row>
    <row r="22" spans="1:6" x14ac:dyDescent="0.35">
      <c r="A22" t="s">
        <v>58</v>
      </c>
      <c r="B22" t="s">
        <v>59</v>
      </c>
      <c r="C22" t="s">
        <v>53</v>
      </c>
      <c r="D22" s="3">
        <v>3000000</v>
      </c>
      <c r="E22" s="3">
        <v>220000</v>
      </c>
      <c r="F22" s="1" t="s"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9"/>
  <sheetViews>
    <sheetView topLeftCell="A4" zoomScale="85" zoomScaleNormal="85" workbookViewId="0">
      <pane xSplit="2" topLeftCell="V1" activePane="topRight" state="frozen"/>
      <selection pane="topRight" activeCell="T18" sqref="T18"/>
    </sheetView>
  </sheetViews>
  <sheetFormatPr defaultColWidth="8.6328125" defaultRowHeight="14.5" x14ac:dyDescent="0.35"/>
  <cols>
    <col min="1" max="1" width="18" customWidth="1"/>
    <col min="2" max="2" width="25.90625" customWidth="1"/>
    <col min="3" max="3" width="15.54296875" style="3" customWidth="1"/>
    <col min="4" max="6" width="15.54296875" customWidth="1"/>
    <col min="7" max="7" width="15.54296875" style="3" customWidth="1"/>
    <col min="8" max="8" width="15.54296875" style="4" customWidth="1"/>
    <col min="9" max="11" width="15.54296875" style="3" customWidth="1"/>
    <col min="12" max="13" width="12.90625" style="3" customWidth="1"/>
    <col min="14" max="14" width="10.6328125" style="5" customWidth="1"/>
    <col min="15" max="15" width="12" style="5" customWidth="1"/>
    <col min="16" max="16" width="11" style="5" customWidth="1"/>
    <col min="17" max="17" width="16.453125" style="5" customWidth="1"/>
    <col min="18" max="18" width="15.26953125" style="3" customWidth="1"/>
    <col min="19" max="19" width="13.7265625" style="3" customWidth="1"/>
    <col min="20" max="20" width="13.81640625" style="3" customWidth="1"/>
    <col min="21" max="22" width="14.36328125" style="3" customWidth="1"/>
    <col min="23" max="23" width="15.7265625" style="5" customWidth="1"/>
    <col min="24" max="24" width="15.81640625" style="5" customWidth="1"/>
    <col min="25" max="25" width="11.81640625" customWidth="1"/>
    <col min="27" max="28" width="11.81640625" customWidth="1"/>
  </cols>
  <sheetData>
    <row r="1" spans="1:28" s="6" customFormat="1" ht="42" customHeight="1" x14ac:dyDescent="0.3">
      <c r="C1" s="7"/>
      <c r="G1" s="7"/>
      <c r="H1" s="8"/>
      <c r="I1" s="7"/>
      <c r="J1" s="58" t="s">
        <v>60</v>
      </c>
      <c r="K1" s="58"/>
      <c r="L1" s="58"/>
      <c r="M1" s="58"/>
      <c r="N1" s="9" t="s">
        <v>61</v>
      </c>
      <c r="O1" s="9" t="s">
        <v>61</v>
      </c>
      <c r="P1" s="10"/>
      <c r="Q1" s="10"/>
      <c r="R1" s="7"/>
      <c r="S1" s="7"/>
      <c r="T1" s="7"/>
      <c r="U1" s="7"/>
      <c r="V1" s="7"/>
      <c r="W1" s="10"/>
      <c r="X1" s="10"/>
    </row>
    <row r="2" spans="1:28" x14ac:dyDescent="0.35">
      <c r="D2" s="3">
        <v>5288796</v>
      </c>
      <c r="E2" s="11">
        <f>D2*5%</f>
        <v>264439.8</v>
      </c>
      <c r="G2" s="12"/>
      <c r="H2" s="13"/>
      <c r="J2" s="14">
        <v>0.04</v>
      </c>
      <c r="K2" s="15" t="s">
        <v>62</v>
      </c>
      <c r="L2" s="15" t="s">
        <v>63</v>
      </c>
      <c r="M2" s="15" t="s">
        <v>64</v>
      </c>
      <c r="N2" s="16">
        <v>0.01</v>
      </c>
      <c r="O2" s="16">
        <v>0.02</v>
      </c>
    </row>
    <row r="3" spans="1:28" x14ac:dyDescent="0.35">
      <c r="H3" s="4">
        <v>19</v>
      </c>
      <c r="T3" s="3">
        <v>25000</v>
      </c>
    </row>
    <row r="4" spans="1:28" s="28" customFormat="1" ht="54.75" customHeight="1" x14ac:dyDescent="0.35">
      <c r="A4" s="17" t="s">
        <v>0</v>
      </c>
      <c r="B4" s="17" t="s">
        <v>65</v>
      </c>
      <c r="C4" s="18" t="s">
        <v>66</v>
      </c>
      <c r="D4" s="19" t="s">
        <v>67</v>
      </c>
      <c r="E4" s="19" t="s">
        <v>68</v>
      </c>
      <c r="F4" s="19" t="s">
        <v>69</v>
      </c>
      <c r="G4" s="18" t="s">
        <v>70</v>
      </c>
      <c r="H4" s="20" t="s">
        <v>71</v>
      </c>
      <c r="I4" s="21" t="s">
        <v>72</v>
      </c>
      <c r="J4" s="22" t="s">
        <v>73</v>
      </c>
      <c r="K4" s="22" t="s">
        <v>74</v>
      </c>
      <c r="L4" s="22" t="s">
        <v>75</v>
      </c>
      <c r="M4" s="22" t="s">
        <v>76</v>
      </c>
      <c r="N4" s="23" t="s">
        <v>77</v>
      </c>
      <c r="O4" s="23" t="s">
        <v>78</v>
      </c>
      <c r="P4" s="24" t="s">
        <v>79</v>
      </c>
      <c r="Q4" s="25" t="s">
        <v>80</v>
      </c>
      <c r="R4" s="21" t="s">
        <v>81</v>
      </c>
      <c r="S4" s="18" t="s">
        <v>82</v>
      </c>
      <c r="T4" s="18" t="s">
        <v>83</v>
      </c>
      <c r="U4" s="21" t="s">
        <v>84</v>
      </c>
      <c r="V4" s="26" t="s">
        <v>85</v>
      </c>
      <c r="W4" s="23" t="s">
        <v>86</v>
      </c>
      <c r="X4" s="27"/>
    </row>
    <row r="5" spans="1:28" x14ac:dyDescent="0.35">
      <c r="A5" s="29" t="s">
        <v>6</v>
      </c>
      <c r="B5" s="29" t="str">
        <f>VLOOKUP(A5,Data_Karyawan!A:F,2,FALSE())</f>
        <v>Dylan Eldiyano Ramadhan</v>
      </c>
      <c r="C5" s="30">
        <f>VLOOKUP(A5,Data_Karyawan!A:F,4,FALSE())</f>
        <v>18000000</v>
      </c>
      <c r="D5" s="30">
        <v>5288796</v>
      </c>
      <c r="E5" s="30">
        <v>5000000</v>
      </c>
      <c r="F5" s="30">
        <v>10412000</v>
      </c>
      <c r="G5" s="30">
        <f t="shared" ref="G5:G25" si="0">C5</f>
        <v>18000000</v>
      </c>
      <c r="H5" s="31">
        <v>19</v>
      </c>
      <c r="I5" s="32">
        <f>G5</f>
        <v>18000000</v>
      </c>
      <c r="J5" s="30">
        <f t="shared" ref="J5:J25" si="1">D5*$J$2</f>
        <v>211551.84</v>
      </c>
      <c r="K5" s="30">
        <f t="shared" ref="K5:K25" si="2">E5*$K$2</f>
        <v>185000</v>
      </c>
      <c r="L5" s="30">
        <f t="shared" ref="L5:L25" si="3">E5*$L$2</f>
        <v>11999.999999999998</v>
      </c>
      <c r="M5" s="30">
        <f t="shared" ref="M5:M25" si="4">E5*$M$2</f>
        <v>15000</v>
      </c>
      <c r="N5" s="33">
        <f t="shared" ref="N5:N25" si="5">-D5*$N$2</f>
        <v>-52887.96</v>
      </c>
      <c r="O5" s="33">
        <f t="shared" ref="O5:O24" si="6">-E5*$O$2</f>
        <v>-100000</v>
      </c>
      <c r="P5" s="33">
        <v>-260300</v>
      </c>
      <c r="Q5" s="34">
        <f t="shared" ref="Q5:Q25" si="7">SUM(N5:P5)</f>
        <v>-413187.95999999996</v>
      </c>
      <c r="R5" s="32"/>
      <c r="S5" s="30">
        <f>VLOOKUP(A5,Data_Karyawan!A:F,5,FALSE())</f>
        <v>220000</v>
      </c>
      <c r="T5" s="30">
        <v>0</v>
      </c>
      <c r="U5" s="32">
        <f t="shared" ref="U5:U25" si="8">S5+T5</f>
        <v>220000</v>
      </c>
      <c r="V5" s="32"/>
      <c r="W5" s="33">
        <f t="shared" ref="W5:W25" si="9">I5+Q5+R5+U5+V5</f>
        <v>17806812.039999999</v>
      </c>
    </row>
    <row r="6" spans="1:28" x14ac:dyDescent="0.35">
      <c r="A6" s="29" t="s">
        <v>10</v>
      </c>
      <c r="B6" s="29" t="str">
        <f>VLOOKUP(A6,Data_Karyawan!A:F,2,FALSE())</f>
        <v xml:space="preserve">Berlianagara A. H </v>
      </c>
      <c r="C6" s="30">
        <v>6000000</v>
      </c>
      <c r="D6" s="30">
        <v>5288796</v>
      </c>
      <c r="E6" s="30">
        <v>5000000</v>
      </c>
      <c r="F6" s="35"/>
      <c r="G6" s="30">
        <f t="shared" si="0"/>
        <v>6000000</v>
      </c>
      <c r="H6" s="31">
        <v>19</v>
      </c>
      <c r="I6" s="32">
        <f>G6</f>
        <v>6000000</v>
      </c>
      <c r="J6" s="30">
        <f t="shared" si="1"/>
        <v>211551.84</v>
      </c>
      <c r="K6" s="30">
        <f t="shared" si="2"/>
        <v>185000</v>
      </c>
      <c r="L6" s="30">
        <f t="shared" si="3"/>
        <v>11999.999999999998</v>
      </c>
      <c r="M6" s="30">
        <f t="shared" si="4"/>
        <v>15000</v>
      </c>
      <c r="N6" s="33">
        <f t="shared" si="5"/>
        <v>-52887.96</v>
      </c>
      <c r="O6" s="33">
        <f t="shared" si="6"/>
        <v>-100000</v>
      </c>
      <c r="P6" s="33"/>
      <c r="Q6" s="34">
        <f t="shared" si="7"/>
        <v>-152887.96</v>
      </c>
      <c r="R6" s="32"/>
      <c r="S6" s="30">
        <v>220000</v>
      </c>
      <c r="T6" s="30">
        <f t="shared" ref="T6:T15" si="10">H6*$T$3</f>
        <v>475000</v>
      </c>
      <c r="U6" s="32">
        <f t="shared" si="8"/>
        <v>695000</v>
      </c>
      <c r="V6" s="32"/>
      <c r="W6" s="33">
        <f t="shared" si="9"/>
        <v>6542112.04</v>
      </c>
    </row>
    <row r="7" spans="1:28" x14ac:dyDescent="0.35">
      <c r="A7" s="29" t="s">
        <v>13</v>
      </c>
      <c r="B7" s="29" t="str">
        <f>VLOOKUP(A7,Data_Karyawan!A:F,2,FALSE())</f>
        <v>Zwin</v>
      </c>
      <c r="C7" s="30">
        <v>5730000</v>
      </c>
      <c r="D7" s="35">
        <v>0</v>
      </c>
      <c r="E7" s="35">
        <v>0</v>
      </c>
      <c r="F7" s="35"/>
      <c r="G7" s="30">
        <f t="shared" si="0"/>
        <v>5730000</v>
      </c>
      <c r="H7" s="31">
        <f>19-5</f>
        <v>14</v>
      </c>
      <c r="I7" s="32">
        <f>H7/H3*G7</f>
        <v>4222105.2631578948</v>
      </c>
      <c r="J7" s="35">
        <f t="shared" si="1"/>
        <v>0</v>
      </c>
      <c r="K7" s="35">
        <f t="shared" si="2"/>
        <v>0</v>
      </c>
      <c r="L7" s="35">
        <f t="shared" si="3"/>
        <v>0</v>
      </c>
      <c r="M7" s="35">
        <f t="shared" si="4"/>
        <v>0</v>
      </c>
      <c r="N7" s="36">
        <f t="shared" si="5"/>
        <v>0</v>
      </c>
      <c r="O7" s="36">
        <f t="shared" si="6"/>
        <v>0</v>
      </c>
      <c r="P7" s="33"/>
      <c r="Q7" s="34">
        <f t="shared" si="7"/>
        <v>0</v>
      </c>
      <c r="R7" s="32"/>
      <c r="S7" s="30">
        <v>220000</v>
      </c>
      <c r="T7" s="30">
        <f t="shared" si="10"/>
        <v>350000</v>
      </c>
      <c r="U7" s="32">
        <f t="shared" si="8"/>
        <v>570000</v>
      </c>
      <c r="V7" s="32"/>
      <c r="W7" s="33">
        <f t="shared" si="9"/>
        <v>4792105.2631578948</v>
      </c>
    </row>
    <row r="8" spans="1:28" x14ac:dyDescent="0.35">
      <c r="A8" s="29" t="s">
        <v>15</v>
      </c>
      <c r="B8" s="29" t="str">
        <f>VLOOKUP(A8,Data_Karyawan!A:F,2,FALSE())</f>
        <v>Nabilla Firdaus Palesta Lihawa</v>
      </c>
      <c r="C8" s="30">
        <v>7000000</v>
      </c>
      <c r="D8" s="30">
        <v>5288796</v>
      </c>
      <c r="E8" s="30">
        <v>5000000</v>
      </c>
      <c r="F8" s="35"/>
      <c r="G8" s="30">
        <f t="shared" si="0"/>
        <v>7000000</v>
      </c>
      <c r="H8" s="31">
        <v>19</v>
      </c>
      <c r="I8" s="32">
        <f t="shared" ref="I8:I16" si="11">G8</f>
        <v>7000000</v>
      </c>
      <c r="J8" s="30">
        <f t="shared" si="1"/>
        <v>211551.84</v>
      </c>
      <c r="K8" s="30">
        <f t="shared" si="2"/>
        <v>185000</v>
      </c>
      <c r="L8" s="30">
        <f t="shared" si="3"/>
        <v>11999.999999999998</v>
      </c>
      <c r="M8" s="30">
        <f t="shared" si="4"/>
        <v>15000</v>
      </c>
      <c r="N8" s="33">
        <f t="shared" si="5"/>
        <v>-52887.96</v>
      </c>
      <c r="O8" s="33">
        <f t="shared" si="6"/>
        <v>-100000</v>
      </c>
      <c r="P8" s="33"/>
      <c r="Q8" s="34">
        <f t="shared" si="7"/>
        <v>-152887.96</v>
      </c>
      <c r="R8" s="32"/>
      <c r="S8" s="30">
        <v>220000</v>
      </c>
      <c r="T8" s="30">
        <f t="shared" si="10"/>
        <v>475000</v>
      </c>
      <c r="U8" s="32">
        <f t="shared" si="8"/>
        <v>695000</v>
      </c>
      <c r="V8" s="32"/>
      <c r="W8" s="33">
        <f t="shared" si="9"/>
        <v>7542112.04</v>
      </c>
      <c r="X8" s="33"/>
      <c r="AA8" s="11"/>
      <c r="AB8" s="11"/>
    </row>
    <row r="9" spans="1:28" x14ac:dyDescent="0.35">
      <c r="A9" s="29" t="s">
        <v>18</v>
      </c>
      <c r="B9" s="29" t="str">
        <f>VLOOKUP(A9,Data_Karyawan!A:F,2,FALSE())</f>
        <v xml:space="preserve">Fiagem Dwi Woro Bahwani </v>
      </c>
      <c r="C9" s="30">
        <v>5000000</v>
      </c>
      <c r="D9" s="35">
        <v>0</v>
      </c>
      <c r="E9" s="35">
        <v>0</v>
      </c>
      <c r="F9" s="35"/>
      <c r="G9" s="30">
        <f t="shared" si="0"/>
        <v>5000000</v>
      </c>
      <c r="H9" s="31">
        <v>19</v>
      </c>
      <c r="I9" s="32">
        <f t="shared" si="11"/>
        <v>5000000</v>
      </c>
      <c r="J9" s="35">
        <f t="shared" si="1"/>
        <v>0</v>
      </c>
      <c r="K9" s="35">
        <f t="shared" si="2"/>
        <v>0</v>
      </c>
      <c r="L9" s="35">
        <f t="shared" si="3"/>
        <v>0</v>
      </c>
      <c r="M9" s="35">
        <f t="shared" si="4"/>
        <v>0</v>
      </c>
      <c r="N9" s="36">
        <f t="shared" si="5"/>
        <v>0</v>
      </c>
      <c r="O9" s="36">
        <f t="shared" si="6"/>
        <v>0</v>
      </c>
      <c r="P9" s="33"/>
      <c r="Q9" s="34">
        <f t="shared" si="7"/>
        <v>0</v>
      </c>
      <c r="R9" s="32"/>
      <c r="S9" s="30">
        <v>220000</v>
      </c>
      <c r="T9" s="30">
        <f t="shared" si="10"/>
        <v>475000</v>
      </c>
      <c r="U9" s="32">
        <f t="shared" si="8"/>
        <v>695000</v>
      </c>
      <c r="V9" s="32"/>
      <c r="W9" s="33">
        <f t="shared" si="9"/>
        <v>5695000</v>
      </c>
    </row>
    <row r="10" spans="1:28" x14ac:dyDescent="0.35">
      <c r="A10" s="29" t="s">
        <v>21</v>
      </c>
      <c r="B10" s="29" t="str">
        <f>VLOOKUP(A10,Data_Karyawan!A:F,2,FALSE())</f>
        <v>Alfian Dwi Nugraha</v>
      </c>
      <c r="C10" s="30">
        <v>7000000</v>
      </c>
      <c r="D10" s="30">
        <v>5288796</v>
      </c>
      <c r="E10" s="30">
        <v>5000000</v>
      </c>
      <c r="F10" s="35"/>
      <c r="G10" s="30">
        <f t="shared" si="0"/>
        <v>7000000</v>
      </c>
      <c r="H10" s="31">
        <v>19</v>
      </c>
      <c r="I10" s="32">
        <f t="shared" si="11"/>
        <v>7000000</v>
      </c>
      <c r="J10" s="30">
        <f t="shared" si="1"/>
        <v>211551.84</v>
      </c>
      <c r="K10" s="30">
        <f t="shared" si="2"/>
        <v>185000</v>
      </c>
      <c r="L10" s="30">
        <f t="shared" si="3"/>
        <v>11999.999999999998</v>
      </c>
      <c r="M10" s="30">
        <f t="shared" si="4"/>
        <v>15000</v>
      </c>
      <c r="N10" s="33">
        <f t="shared" si="5"/>
        <v>-52887.96</v>
      </c>
      <c r="O10" s="33">
        <f t="shared" si="6"/>
        <v>-100000</v>
      </c>
      <c r="P10" s="33"/>
      <c r="Q10" s="34">
        <f t="shared" si="7"/>
        <v>-152887.96</v>
      </c>
      <c r="R10" s="32"/>
      <c r="S10" s="30">
        <v>220000</v>
      </c>
      <c r="T10" s="30">
        <f t="shared" si="10"/>
        <v>475000</v>
      </c>
      <c r="U10" s="32">
        <f t="shared" si="8"/>
        <v>695000</v>
      </c>
      <c r="V10" s="32">
        <v>5000000</v>
      </c>
      <c r="W10" s="33">
        <f t="shared" si="9"/>
        <v>12542112.039999999</v>
      </c>
    </row>
    <row r="11" spans="1:28" x14ac:dyDescent="0.35">
      <c r="A11" s="29" t="s">
        <v>24</v>
      </c>
      <c r="B11" s="29" t="str">
        <f>VLOOKUP(A11,Data_Karyawan!A:F,2,FALSE())</f>
        <v>Masrukin</v>
      </c>
      <c r="C11" s="30">
        <v>7000000</v>
      </c>
      <c r="D11" s="30">
        <v>5288796</v>
      </c>
      <c r="E11" s="30">
        <v>5000000</v>
      </c>
      <c r="F11" s="35"/>
      <c r="G11" s="30">
        <f t="shared" si="0"/>
        <v>7000000</v>
      </c>
      <c r="H11" s="31">
        <v>19</v>
      </c>
      <c r="I11" s="32">
        <f t="shared" si="11"/>
        <v>7000000</v>
      </c>
      <c r="J11" s="30">
        <f t="shared" si="1"/>
        <v>211551.84</v>
      </c>
      <c r="K11" s="30">
        <f t="shared" si="2"/>
        <v>185000</v>
      </c>
      <c r="L11" s="30">
        <f t="shared" si="3"/>
        <v>11999.999999999998</v>
      </c>
      <c r="M11" s="30">
        <f t="shared" si="4"/>
        <v>15000</v>
      </c>
      <c r="N11" s="33">
        <f t="shared" si="5"/>
        <v>-52887.96</v>
      </c>
      <c r="O11" s="33">
        <f t="shared" si="6"/>
        <v>-100000</v>
      </c>
      <c r="P11" s="33"/>
      <c r="Q11" s="34">
        <f t="shared" si="7"/>
        <v>-152887.96</v>
      </c>
      <c r="R11" s="32"/>
      <c r="S11" s="30">
        <v>220000</v>
      </c>
      <c r="T11" s="30">
        <f t="shared" si="10"/>
        <v>475000</v>
      </c>
      <c r="U11" s="32">
        <f t="shared" si="8"/>
        <v>695000</v>
      </c>
      <c r="V11" s="32"/>
      <c r="W11" s="33">
        <f t="shared" si="9"/>
        <v>7542112.04</v>
      </c>
    </row>
    <row r="12" spans="1:28" x14ac:dyDescent="0.35">
      <c r="A12" s="29" t="s">
        <v>27</v>
      </c>
      <c r="B12" s="29" t="str">
        <f>VLOOKUP(A12,Data_Karyawan!A:F,2,FALSE())</f>
        <v>Bowo Prayoga</v>
      </c>
      <c r="C12" s="30">
        <v>5000000</v>
      </c>
      <c r="D12" s="30">
        <v>5288796</v>
      </c>
      <c r="E12" s="30">
        <v>5000000</v>
      </c>
      <c r="F12" s="35"/>
      <c r="G12" s="30">
        <f t="shared" si="0"/>
        <v>5000000</v>
      </c>
      <c r="H12" s="31">
        <v>19</v>
      </c>
      <c r="I12" s="32">
        <f t="shared" si="11"/>
        <v>5000000</v>
      </c>
      <c r="J12" s="30">
        <f t="shared" si="1"/>
        <v>211551.84</v>
      </c>
      <c r="K12" s="30">
        <f t="shared" si="2"/>
        <v>185000</v>
      </c>
      <c r="L12" s="30">
        <f t="shared" si="3"/>
        <v>11999.999999999998</v>
      </c>
      <c r="M12" s="30">
        <f t="shared" si="4"/>
        <v>15000</v>
      </c>
      <c r="N12" s="33">
        <f t="shared" si="5"/>
        <v>-52887.96</v>
      </c>
      <c r="O12" s="33">
        <f t="shared" si="6"/>
        <v>-100000</v>
      </c>
      <c r="P12" s="33"/>
      <c r="Q12" s="34">
        <f t="shared" si="7"/>
        <v>-152887.96</v>
      </c>
      <c r="R12" s="32"/>
      <c r="S12" s="30">
        <v>220000</v>
      </c>
      <c r="T12" s="30">
        <f t="shared" si="10"/>
        <v>475000</v>
      </c>
      <c r="U12" s="32">
        <f t="shared" si="8"/>
        <v>695000</v>
      </c>
      <c r="V12" s="32"/>
      <c r="W12" s="33">
        <f t="shared" si="9"/>
        <v>5542112.04</v>
      </c>
    </row>
    <row r="13" spans="1:28" x14ac:dyDescent="0.35">
      <c r="A13" s="29" t="s">
        <v>29</v>
      </c>
      <c r="B13" s="29" t="str">
        <f>VLOOKUP(A13,Data_Karyawan!A:F,2,FALSE())</f>
        <v>Satria Baladewa Harahap</v>
      </c>
      <c r="C13" s="30">
        <v>5000000</v>
      </c>
      <c r="D13" s="30">
        <v>5288796</v>
      </c>
      <c r="E13" s="30">
        <v>5000000</v>
      </c>
      <c r="F13" s="35"/>
      <c r="G13" s="30">
        <f t="shared" si="0"/>
        <v>5000000</v>
      </c>
      <c r="H13" s="31">
        <v>19</v>
      </c>
      <c r="I13" s="32">
        <f t="shared" si="11"/>
        <v>5000000</v>
      </c>
      <c r="J13" s="30">
        <f t="shared" si="1"/>
        <v>211551.84</v>
      </c>
      <c r="K13" s="30">
        <f t="shared" si="2"/>
        <v>185000</v>
      </c>
      <c r="L13" s="30">
        <f t="shared" si="3"/>
        <v>11999.999999999998</v>
      </c>
      <c r="M13" s="30">
        <f t="shared" si="4"/>
        <v>15000</v>
      </c>
      <c r="N13" s="33">
        <f t="shared" si="5"/>
        <v>-52887.96</v>
      </c>
      <c r="O13" s="33">
        <f t="shared" si="6"/>
        <v>-100000</v>
      </c>
      <c r="P13" s="33"/>
      <c r="Q13" s="34">
        <f t="shared" si="7"/>
        <v>-152887.96</v>
      </c>
      <c r="R13" s="32"/>
      <c r="S13" s="30">
        <v>220000</v>
      </c>
      <c r="T13" s="30">
        <f t="shared" si="10"/>
        <v>475000</v>
      </c>
      <c r="U13" s="32">
        <f t="shared" si="8"/>
        <v>695000</v>
      </c>
      <c r="V13" s="32"/>
      <c r="W13" s="33">
        <f t="shared" si="9"/>
        <v>5542112.04</v>
      </c>
      <c r="Y13" s="11"/>
    </row>
    <row r="14" spans="1:28" x14ac:dyDescent="0.35">
      <c r="A14" s="29" t="s">
        <v>31</v>
      </c>
      <c r="B14" s="29" t="str">
        <f>VLOOKUP(A14,Data_Karyawan!A:F,2,FALSE())</f>
        <v xml:space="preserve">Rudi Ardi Hamzah </v>
      </c>
      <c r="C14" s="30">
        <v>4000000</v>
      </c>
      <c r="D14" s="35">
        <v>0</v>
      </c>
      <c r="E14" s="35">
        <v>0</v>
      </c>
      <c r="F14" s="35"/>
      <c r="G14" s="30">
        <f t="shared" si="0"/>
        <v>4000000</v>
      </c>
      <c r="H14" s="31">
        <v>19</v>
      </c>
      <c r="I14" s="32">
        <f t="shared" si="11"/>
        <v>4000000</v>
      </c>
      <c r="J14" s="35">
        <f t="shared" si="1"/>
        <v>0</v>
      </c>
      <c r="K14" s="35">
        <f t="shared" si="2"/>
        <v>0</v>
      </c>
      <c r="L14" s="35">
        <f t="shared" si="3"/>
        <v>0</v>
      </c>
      <c r="M14" s="35">
        <f t="shared" si="4"/>
        <v>0</v>
      </c>
      <c r="N14" s="36">
        <f t="shared" si="5"/>
        <v>0</v>
      </c>
      <c r="O14" s="36">
        <f t="shared" si="6"/>
        <v>0</v>
      </c>
      <c r="P14" s="33"/>
      <c r="Q14" s="34">
        <f t="shared" si="7"/>
        <v>0</v>
      </c>
      <c r="R14" s="32"/>
      <c r="S14" s="30">
        <v>220000</v>
      </c>
      <c r="T14" s="30">
        <f t="shared" si="10"/>
        <v>475000</v>
      </c>
      <c r="U14" s="32">
        <f t="shared" si="8"/>
        <v>695000</v>
      </c>
      <c r="V14" s="32"/>
      <c r="W14" s="33">
        <f t="shared" si="9"/>
        <v>4695000</v>
      </c>
    </row>
    <row r="15" spans="1:28" x14ac:dyDescent="0.35">
      <c r="A15" s="29" t="s">
        <v>34</v>
      </c>
      <c r="B15" s="29" t="str">
        <f>VLOOKUP(A15,Data_Karyawan!A:F,2,FALSE())</f>
        <v xml:space="preserve">Muhammad Fariza Agustino </v>
      </c>
      <c r="C15" s="30">
        <v>5000000</v>
      </c>
      <c r="D15" s="30">
        <v>5288796</v>
      </c>
      <c r="E15" s="30">
        <v>5000000</v>
      </c>
      <c r="F15" s="35"/>
      <c r="G15" s="30">
        <f t="shared" si="0"/>
        <v>5000000</v>
      </c>
      <c r="H15" s="31">
        <v>19</v>
      </c>
      <c r="I15" s="32">
        <f t="shared" si="11"/>
        <v>5000000</v>
      </c>
      <c r="J15" s="30">
        <f t="shared" si="1"/>
        <v>211551.84</v>
      </c>
      <c r="K15" s="30">
        <f t="shared" si="2"/>
        <v>185000</v>
      </c>
      <c r="L15" s="30">
        <f t="shared" si="3"/>
        <v>11999.999999999998</v>
      </c>
      <c r="M15" s="30">
        <f t="shared" si="4"/>
        <v>15000</v>
      </c>
      <c r="N15" s="33">
        <f t="shared" si="5"/>
        <v>-52887.96</v>
      </c>
      <c r="O15" s="33">
        <f t="shared" si="6"/>
        <v>-100000</v>
      </c>
      <c r="P15" s="33"/>
      <c r="Q15" s="34">
        <f t="shared" si="7"/>
        <v>-152887.96</v>
      </c>
      <c r="R15" s="32"/>
      <c r="S15" s="30">
        <v>220000</v>
      </c>
      <c r="T15" s="30">
        <f t="shared" si="10"/>
        <v>475000</v>
      </c>
      <c r="U15" s="32">
        <f t="shared" si="8"/>
        <v>695000</v>
      </c>
      <c r="V15" s="32"/>
      <c r="W15" s="33">
        <f t="shared" si="9"/>
        <v>5542112.04</v>
      </c>
    </row>
    <row r="16" spans="1:28" x14ac:dyDescent="0.35">
      <c r="A16" s="29" t="s">
        <v>36</v>
      </c>
      <c r="B16" s="29" t="str">
        <f>VLOOKUP(A16,Data_Karyawan!A:F,2,FALSE())</f>
        <v>Pendik</v>
      </c>
      <c r="C16" s="30">
        <v>2500000</v>
      </c>
      <c r="D16" s="35">
        <v>0</v>
      </c>
      <c r="E16" s="35">
        <v>0</v>
      </c>
      <c r="F16" s="35"/>
      <c r="G16" s="30">
        <f t="shared" si="0"/>
        <v>2500000</v>
      </c>
      <c r="H16" s="31">
        <v>19</v>
      </c>
      <c r="I16" s="32">
        <f t="shared" si="11"/>
        <v>2500000</v>
      </c>
      <c r="J16" s="35">
        <f t="shared" si="1"/>
        <v>0</v>
      </c>
      <c r="K16" s="35">
        <f t="shared" si="2"/>
        <v>0</v>
      </c>
      <c r="L16" s="35">
        <f t="shared" si="3"/>
        <v>0</v>
      </c>
      <c r="M16" s="35">
        <f t="shared" si="4"/>
        <v>0</v>
      </c>
      <c r="N16" s="36">
        <f t="shared" si="5"/>
        <v>0</v>
      </c>
      <c r="O16" s="36">
        <f t="shared" si="6"/>
        <v>0</v>
      </c>
      <c r="P16" s="33"/>
      <c r="Q16" s="34">
        <f t="shared" si="7"/>
        <v>0</v>
      </c>
      <c r="R16" s="32"/>
      <c r="S16" s="35">
        <v>0</v>
      </c>
      <c r="T16" s="35"/>
      <c r="U16" s="35">
        <f t="shared" si="8"/>
        <v>0</v>
      </c>
      <c r="V16" s="32"/>
      <c r="W16" s="33">
        <f t="shared" si="9"/>
        <v>2500000</v>
      </c>
    </row>
    <row r="17" spans="1:24" x14ac:dyDescent="0.35">
      <c r="A17" s="29" t="s">
        <v>38</v>
      </c>
      <c r="B17" s="29" t="str">
        <f>VLOOKUP(A17,Data_Karyawan!A:F,2,FALSE())</f>
        <v>Meysa Mahfudhoh</v>
      </c>
      <c r="C17" s="30">
        <v>3500000</v>
      </c>
      <c r="D17" s="35">
        <v>0</v>
      </c>
      <c r="E17" s="35">
        <v>0</v>
      </c>
      <c r="F17" s="35"/>
      <c r="G17" s="30">
        <f t="shared" si="0"/>
        <v>3500000</v>
      </c>
      <c r="H17" s="31">
        <v>17</v>
      </c>
      <c r="I17" s="32">
        <f>H17/H3*G17</f>
        <v>3131578.9473684211</v>
      </c>
      <c r="J17" s="35">
        <f t="shared" si="1"/>
        <v>0</v>
      </c>
      <c r="K17" s="35">
        <f t="shared" si="2"/>
        <v>0</v>
      </c>
      <c r="L17" s="35">
        <f t="shared" si="3"/>
        <v>0</v>
      </c>
      <c r="M17" s="35">
        <f t="shared" si="4"/>
        <v>0</v>
      </c>
      <c r="N17" s="36">
        <f t="shared" si="5"/>
        <v>0</v>
      </c>
      <c r="O17" s="36">
        <f t="shared" si="6"/>
        <v>0</v>
      </c>
      <c r="P17" s="33"/>
      <c r="Q17" s="34">
        <f t="shared" si="7"/>
        <v>0</v>
      </c>
      <c r="R17" s="32"/>
      <c r="S17" s="30">
        <v>220000</v>
      </c>
      <c r="T17" s="30">
        <f>H17*$T$3</f>
        <v>425000</v>
      </c>
      <c r="U17" s="32">
        <f t="shared" si="8"/>
        <v>645000</v>
      </c>
      <c r="V17" s="32"/>
      <c r="W17" s="33">
        <f t="shared" si="9"/>
        <v>3776578.9473684211</v>
      </c>
    </row>
    <row r="18" spans="1:24" x14ac:dyDescent="0.35">
      <c r="A18" s="29" t="s">
        <v>40</v>
      </c>
      <c r="B18" s="29" t="str">
        <f>VLOOKUP(A18,Data_Karyawan!A:F,2,FALSE())</f>
        <v>M. Rizqi R.</v>
      </c>
      <c r="C18" s="30">
        <v>2500000</v>
      </c>
      <c r="D18" s="35">
        <v>0</v>
      </c>
      <c r="E18" s="35">
        <v>0</v>
      </c>
      <c r="F18" s="35"/>
      <c r="G18" s="30">
        <f t="shared" si="0"/>
        <v>2500000</v>
      </c>
      <c r="H18" s="31">
        <v>19</v>
      </c>
      <c r="I18" s="32">
        <f>G18</f>
        <v>2500000</v>
      </c>
      <c r="J18" s="35">
        <f t="shared" si="1"/>
        <v>0</v>
      </c>
      <c r="K18" s="35">
        <f t="shared" si="2"/>
        <v>0</v>
      </c>
      <c r="L18" s="35">
        <f t="shared" si="3"/>
        <v>0</v>
      </c>
      <c r="M18" s="35">
        <f t="shared" si="4"/>
        <v>0</v>
      </c>
      <c r="N18" s="36">
        <f t="shared" si="5"/>
        <v>0</v>
      </c>
      <c r="O18" s="36">
        <f t="shared" si="6"/>
        <v>0</v>
      </c>
      <c r="P18" s="33"/>
      <c r="Q18" s="34">
        <f t="shared" si="7"/>
        <v>0</v>
      </c>
      <c r="R18" s="32"/>
      <c r="S18" s="35">
        <v>0</v>
      </c>
      <c r="T18" s="35"/>
      <c r="U18" s="35">
        <f t="shared" si="8"/>
        <v>0</v>
      </c>
      <c r="V18" s="32"/>
      <c r="W18" s="33">
        <f t="shared" si="9"/>
        <v>2500000</v>
      </c>
    </row>
    <row r="19" spans="1:24" x14ac:dyDescent="0.35">
      <c r="A19" s="29" t="s">
        <v>42</v>
      </c>
      <c r="B19" s="29" t="str">
        <f>VLOOKUP(A19,Data_Karyawan!A:F,2,FALSE())</f>
        <v xml:space="preserve">Florencia Irena </v>
      </c>
      <c r="C19" s="30">
        <v>5000000</v>
      </c>
      <c r="D19" s="30">
        <v>5288796</v>
      </c>
      <c r="E19" s="30">
        <v>5000000</v>
      </c>
      <c r="F19" s="35"/>
      <c r="G19" s="30">
        <f t="shared" si="0"/>
        <v>5000000</v>
      </c>
      <c r="H19" s="31">
        <v>7</v>
      </c>
      <c r="I19" s="32">
        <f>H19/H3*G19</f>
        <v>1842105.2631578946</v>
      </c>
      <c r="J19" s="30">
        <f t="shared" si="1"/>
        <v>211551.84</v>
      </c>
      <c r="K19" s="30">
        <f t="shared" si="2"/>
        <v>185000</v>
      </c>
      <c r="L19" s="30">
        <f t="shared" si="3"/>
        <v>11999.999999999998</v>
      </c>
      <c r="M19" s="30">
        <f t="shared" si="4"/>
        <v>15000</v>
      </c>
      <c r="N19" s="33">
        <f t="shared" si="5"/>
        <v>-52887.96</v>
      </c>
      <c r="O19" s="33">
        <f t="shared" si="6"/>
        <v>-100000</v>
      </c>
      <c r="P19" s="33"/>
      <c r="Q19" s="34">
        <f t="shared" si="7"/>
        <v>-152887.96</v>
      </c>
      <c r="R19" s="32"/>
      <c r="S19" s="30">
        <v>220000</v>
      </c>
      <c r="T19" s="30">
        <f t="shared" ref="T19:T25" si="12">H19*$T$3</f>
        <v>175000</v>
      </c>
      <c r="U19" s="32">
        <f t="shared" si="8"/>
        <v>395000</v>
      </c>
      <c r="V19" s="32"/>
      <c r="W19" s="33">
        <f t="shared" si="9"/>
        <v>2084217.3031578946</v>
      </c>
    </row>
    <row r="20" spans="1:24" x14ac:dyDescent="0.35">
      <c r="A20" s="29" t="s">
        <v>45</v>
      </c>
      <c r="B20" s="29" t="str">
        <f>VLOOKUP(A20,Data_Karyawan!A:F,2,FALSE())</f>
        <v>Fahrul Muttaqin</v>
      </c>
      <c r="C20" s="30">
        <v>4500000</v>
      </c>
      <c r="D20" s="30">
        <v>5288796</v>
      </c>
      <c r="E20" s="30">
        <v>4500000</v>
      </c>
      <c r="F20" s="35"/>
      <c r="G20" s="30">
        <f t="shared" si="0"/>
        <v>4500000</v>
      </c>
      <c r="H20" s="31">
        <v>19</v>
      </c>
      <c r="I20" s="32">
        <f>G20</f>
        <v>4500000</v>
      </c>
      <c r="J20" s="30">
        <f t="shared" si="1"/>
        <v>211551.84</v>
      </c>
      <c r="K20" s="30">
        <f t="shared" si="2"/>
        <v>166500</v>
      </c>
      <c r="L20" s="30">
        <f t="shared" si="3"/>
        <v>10799.999999999998</v>
      </c>
      <c r="M20" s="30">
        <f t="shared" si="4"/>
        <v>13500</v>
      </c>
      <c r="N20" s="33">
        <f t="shared" si="5"/>
        <v>-52887.96</v>
      </c>
      <c r="O20" s="33">
        <f t="shared" si="6"/>
        <v>-90000</v>
      </c>
      <c r="P20" s="33"/>
      <c r="Q20" s="34">
        <f t="shared" si="7"/>
        <v>-142887.96</v>
      </c>
      <c r="R20" s="32"/>
      <c r="S20" s="30">
        <v>220000</v>
      </c>
      <c r="T20" s="30">
        <f t="shared" si="12"/>
        <v>475000</v>
      </c>
      <c r="U20" s="32">
        <f t="shared" si="8"/>
        <v>695000</v>
      </c>
      <c r="V20" s="32"/>
      <c r="W20" s="33">
        <f t="shared" si="9"/>
        <v>5052112.04</v>
      </c>
    </row>
    <row r="21" spans="1:24" x14ac:dyDescent="0.35">
      <c r="A21" s="29" t="s">
        <v>47</v>
      </c>
      <c r="B21" s="29" t="str">
        <f>VLOOKUP(A21,Data_Karyawan!A:F,2,FALSE())</f>
        <v>Abid Ariq Athallah</v>
      </c>
      <c r="C21" s="30">
        <v>4000000</v>
      </c>
      <c r="D21" s="30">
        <v>5288796</v>
      </c>
      <c r="E21" s="30">
        <v>4000000</v>
      </c>
      <c r="F21" s="35"/>
      <c r="G21" s="30">
        <f t="shared" si="0"/>
        <v>4000000</v>
      </c>
      <c r="H21" s="31">
        <v>19</v>
      </c>
      <c r="I21" s="32">
        <f>G21</f>
        <v>4000000</v>
      </c>
      <c r="J21" s="30">
        <f t="shared" si="1"/>
        <v>211551.84</v>
      </c>
      <c r="K21" s="30">
        <f t="shared" si="2"/>
        <v>148000</v>
      </c>
      <c r="L21" s="30">
        <f t="shared" si="3"/>
        <v>9600</v>
      </c>
      <c r="M21" s="30">
        <f t="shared" si="4"/>
        <v>12000</v>
      </c>
      <c r="N21" s="33">
        <f t="shared" si="5"/>
        <v>-52887.96</v>
      </c>
      <c r="O21" s="33">
        <f t="shared" si="6"/>
        <v>-80000</v>
      </c>
      <c r="P21" s="33"/>
      <c r="Q21" s="34">
        <f t="shared" si="7"/>
        <v>-132887.96</v>
      </c>
      <c r="R21" s="32"/>
      <c r="S21" s="30">
        <v>220000</v>
      </c>
      <c r="T21" s="30">
        <f t="shared" si="12"/>
        <v>475000</v>
      </c>
      <c r="U21" s="32">
        <f t="shared" si="8"/>
        <v>695000</v>
      </c>
      <c r="V21" s="32"/>
      <c r="W21" s="33">
        <f t="shared" si="9"/>
        <v>4562112.04</v>
      </c>
    </row>
    <row r="22" spans="1:24" x14ac:dyDescent="0.35">
      <c r="A22" s="29" t="s">
        <v>49</v>
      </c>
      <c r="B22" s="29" t="str">
        <f>VLOOKUP(A22,Data_Karyawan!A:F,2,FALSE())</f>
        <v>Bambang Adi</v>
      </c>
      <c r="C22" s="30">
        <v>3230000</v>
      </c>
      <c r="D22" s="35">
        <v>0</v>
      </c>
      <c r="E22" s="35">
        <v>0</v>
      </c>
      <c r="F22" s="35"/>
      <c r="G22" s="30">
        <f t="shared" si="0"/>
        <v>3230000</v>
      </c>
      <c r="H22" s="31">
        <v>10</v>
      </c>
      <c r="I22" s="32">
        <f>H22/H3*G22</f>
        <v>1700000</v>
      </c>
      <c r="J22" s="35">
        <f t="shared" si="1"/>
        <v>0</v>
      </c>
      <c r="K22" s="35">
        <f t="shared" si="2"/>
        <v>0</v>
      </c>
      <c r="L22" s="35">
        <f t="shared" si="3"/>
        <v>0</v>
      </c>
      <c r="M22" s="35">
        <f t="shared" si="4"/>
        <v>0</v>
      </c>
      <c r="N22" s="36">
        <f t="shared" si="5"/>
        <v>0</v>
      </c>
      <c r="O22" s="36">
        <f t="shared" si="6"/>
        <v>0</v>
      </c>
      <c r="P22" s="33"/>
      <c r="Q22" s="34">
        <f t="shared" si="7"/>
        <v>0</v>
      </c>
      <c r="R22" s="32"/>
      <c r="S22" s="30">
        <v>220000</v>
      </c>
      <c r="T22" s="30">
        <f t="shared" si="12"/>
        <v>250000</v>
      </c>
      <c r="U22" s="32">
        <f t="shared" si="8"/>
        <v>470000</v>
      </c>
      <c r="V22" s="32"/>
      <c r="W22" s="33">
        <f t="shared" si="9"/>
        <v>2170000</v>
      </c>
    </row>
    <row r="23" spans="1:24" x14ac:dyDescent="0.35">
      <c r="A23" s="29" t="s">
        <v>51</v>
      </c>
      <c r="B23" s="29" t="str">
        <f>VLOOKUP(A23,Data_Karyawan!A:F,2,FALSE())</f>
        <v>Mochamad Soleh</v>
      </c>
      <c r="C23" s="30">
        <v>4500000</v>
      </c>
      <c r="D23" s="30">
        <v>5288796</v>
      </c>
      <c r="E23" s="30">
        <v>4500000</v>
      </c>
      <c r="F23" s="35"/>
      <c r="G23" s="30">
        <f t="shared" si="0"/>
        <v>4500000</v>
      </c>
      <c r="H23" s="31">
        <v>19</v>
      </c>
      <c r="I23" s="32">
        <f>G23</f>
        <v>4500000</v>
      </c>
      <c r="J23" s="30">
        <f t="shared" si="1"/>
        <v>211551.84</v>
      </c>
      <c r="K23" s="30">
        <f t="shared" si="2"/>
        <v>166500</v>
      </c>
      <c r="L23" s="30">
        <f t="shared" si="3"/>
        <v>10799.999999999998</v>
      </c>
      <c r="M23" s="30">
        <f t="shared" si="4"/>
        <v>13500</v>
      </c>
      <c r="N23" s="33">
        <f t="shared" si="5"/>
        <v>-52887.96</v>
      </c>
      <c r="O23" s="33">
        <f t="shared" si="6"/>
        <v>-90000</v>
      </c>
      <c r="P23" s="33"/>
      <c r="Q23" s="34">
        <f t="shared" si="7"/>
        <v>-142887.96</v>
      </c>
      <c r="R23" s="32"/>
      <c r="S23" s="30">
        <v>220000</v>
      </c>
      <c r="T23" s="30">
        <f t="shared" si="12"/>
        <v>475000</v>
      </c>
      <c r="U23" s="32">
        <f t="shared" si="8"/>
        <v>695000</v>
      </c>
      <c r="V23" s="32"/>
      <c r="W23" s="33">
        <f t="shared" si="9"/>
        <v>5052112.04</v>
      </c>
    </row>
    <row r="24" spans="1:24" x14ac:dyDescent="0.35">
      <c r="A24" s="29" t="s">
        <v>55</v>
      </c>
      <c r="B24" s="29" t="str">
        <f>VLOOKUP(A24,Data_Karyawan!A:F,2,FALSE())</f>
        <v>Kamit</v>
      </c>
      <c r="C24" s="30">
        <v>3500000</v>
      </c>
      <c r="D24" s="30">
        <v>5288796</v>
      </c>
      <c r="E24" s="30">
        <v>3500000</v>
      </c>
      <c r="F24" s="35"/>
      <c r="G24" s="30">
        <f t="shared" si="0"/>
        <v>3500000</v>
      </c>
      <c r="H24" s="31">
        <v>19</v>
      </c>
      <c r="I24" s="32">
        <f>G24</f>
        <v>3500000</v>
      </c>
      <c r="J24" s="30">
        <f t="shared" si="1"/>
        <v>211551.84</v>
      </c>
      <c r="K24" s="30">
        <f t="shared" si="2"/>
        <v>129500</v>
      </c>
      <c r="L24" s="30">
        <f t="shared" si="3"/>
        <v>8400</v>
      </c>
      <c r="M24" s="30">
        <f t="shared" si="4"/>
        <v>10500</v>
      </c>
      <c r="N24" s="33">
        <f t="shared" si="5"/>
        <v>-52887.96</v>
      </c>
      <c r="O24" s="33">
        <f t="shared" si="6"/>
        <v>-70000</v>
      </c>
      <c r="P24" s="33"/>
      <c r="Q24" s="34">
        <f t="shared" si="7"/>
        <v>-122887.95999999999</v>
      </c>
      <c r="R24" s="32">
        <v>-400000</v>
      </c>
      <c r="S24" s="30">
        <v>220000</v>
      </c>
      <c r="T24" s="30">
        <f t="shared" si="12"/>
        <v>475000</v>
      </c>
      <c r="U24" s="32">
        <f t="shared" si="8"/>
        <v>695000</v>
      </c>
      <c r="V24" s="32"/>
      <c r="W24" s="33">
        <f t="shared" si="9"/>
        <v>3672112.04</v>
      </c>
    </row>
    <row r="25" spans="1:24" x14ac:dyDescent="0.35">
      <c r="A25" s="29" t="s">
        <v>58</v>
      </c>
      <c r="B25" s="29" t="str">
        <f>VLOOKUP(A25,Data_Karyawan!A:F,2,FALSE())</f>
        <v>Galang Belvasya Septian</v>
      </c>
      <c r="C25" s="30">
        <v>3000000</v>
      </c>
      <c r="D25" s="30">
        <v>5288796</v>
      </c>
      <c r="E25" s="35"/>
      <c r="F25" s="35"/>
      <c r="G25" s="30">
        <f t="shared" si="0"/>
        <v>3000000</v>
      </c>
      <c r="H25" s="31">
        <v>19</v>
      </c>
      <c r="I25" s="32">
        <f>G25</f>
        <v>3000000</v>
      </c>
      <c r="J25" s="30">
        <f t="shared" si="1"/>
        <v>211551.84</v>
      </c>
      <c r="K25" s="35">
        <f t="shared" si="2"/>
        <v>0</v>
      </c>
      <c r="L25" s="35">
        <f t="shared" si="3"/>
        <v>0</v>
      </c>
      <c r="M25" s="35">
        <f t="shared" si="4"/>
        <v>0</v>
      </c>
      <c r="N25" s="33">
        <f t="shared" si="5"/>
        <v>-52887.96</v>
      </c>
      <c r="O25" s="36">
        <v>0</v>
      </c>
      <c r="P25" s="33"/>
      <c r="Q25" s="34">
        <f t="shared" si="7"/>
        <v>-52887.96</v>
      </c>
      <c r="R25" s="32"/>
      <c r="S25" s="30">
        <v>220000</v>
      </c>
      <c r="T25" s="30">
        <f t="shared" si="12"/>
        <v>475000</v>
      </c>
      <c r="U25" s="32">
        <f t="shared" si="8"/>
        <v>695000</v>
      </c>
      <c r="V25" s="32"/>
      <c r="W25" s="33">
        <f t="shared" si="9"/>
        <v>3642112.04</v>
      </c>
    </row>
    <row r="26" spans="1:24" s="37" customFormat="1" x14ac:dyDescent="0.35">
      <c r="C26" s="38">
        <f>SUBTOTAL(9,C5:C25)</f>
        <v>110960000</v>
      </c>
      <c r="D26" s="38">
        <f>SUBTOTAL(9,D5:D25)</f>
        <v>74043144</v>
      </c>
      <c r="E26" s="38">
        <f>SUBTOTAL(9,E5:E25)</f>
        <v>61500000</v>
      </c>
      <c r="F26" s="38">
        <f>SUBTOTAL(9,F5:F25)</f>
        <v>10412000</v>
      </c>
      <c r="G26" s="38">
        <f>SUBTOTAL(9,G5:G25)</f>
        <v>110960000</v>
      </c>
      <c r="H26" s="39"/>
      <c r="I26" s="38"/>
      <c r="J26" s="38">
        <f t="shared" ref="J26:W26" si="13">SUBTOTAL(9,J5:J25)</f>
        <v>2961725.76</v>
      </c>
      <c r="K26" s="38">
        <f t="shared" si="13"/>
        <v>2275500</v>
      </c>
      <c r="L26" s="38">
        <f t="shared" si="13"/>
        <v>147599.99999999997</v>
      </c>
      <c r="M26" s="38">
        <f t="shared" si="13"/>
        <v>184500</v>
      </c>
      <c r="N26" s="40">
        <f t="shared" si="13"/>
        <v>-740431.44</v>
      </c>
      <c r="O26" s="40">
        <f t="shared" si="13"/>
        <v>-1230000</v>
      </c>
      <c r="P26" s="40">
        <f t="shared" si="13"/>
        <v>-260300</v>
      </c>
      <c r="Q26" s="40">
        <f t="shared" si="13"/>
        <v>-2230731.4399999995</v>
      </c>
      <c r="R26" s="38">
        <f t="shared" si="13"/>
        <v>-400000</v>
      </c>
      <c r="S26" s="38">
        <f t="shared" si="13"/>
        <v>4180000</v>
      </c>
      <c r="T26" s="38">
        <f t="shared" si="13"/>
        <v>7850000</v>
      </c>
      <c r="U26" s="38">
        <f t="shared" si="13"/>
        <v>12030000</v>
      </c>
      <c r="V26" s="38">
        <f t="shared" si="13"/>
        <v>5000000</v>
      </c>
      <c r="W26" s="40">
        <f t="shared" si="13"/>
        <v>118795058.03368427</v>
      </c>
      <c r="X26" s="40"/>
    </row>
    <row r="29" spans="1:24" ht="15" customHeight="1" x14ac:dyDescent="0.35">
      <c r="Q29" s="41" t="s">
        <v>87</v>
      </c>
      <c r="R29" s="42" t="s">
        <v>88</v>
      </c>
      <c r="S29" s="42" t="s">
        <v>89</v>
      </c>
    </row>
  </sheetData>
  <mergeCells count="1">
    <mergeCell ref="J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417"/>
  <sheetViews>
    <sheetView tabSelected="1" topLeftCell="A318" zoomScale="82" zoomScaleNormal="100" workbookViewId="0">
      <selection activeCell="H7" sqref="H7"/>
    </sheetView>
  </sheetViews>
  <sheetFormatPr defaultColWidth="8.6328125" defaultRowHeight="14.5" x14ac:dyDescent="0.35"/>
  <cols>
    <col min="1" max="1" width="22" customWidth="1"/>
    <col min="2" max="2" width="23.54296875" customWidth="1"/>
    <col min="3" max="3" width="5" customWidth="1"/>
    <col min="4" max="5" width="22" customWidth="1"/>
  </cols>
  <sheetData>
    <row r="1" spans="1:5" ht="73.5" customHeight="1" x14ac:dyDescent="0.35">
      <c r="A1" s="61" t="s">
        <v>103</v>
      </c>
      <c r="B1" s="62"/>
      <c r="C1" s="62"/>
      <c r="D1" s="62"/>
      <c r="E1" s="62"/>
    </row>
    <row r="2" spans="1:5" ht="21.75" customHeight="1" x14ac:dyDescent="0.35">
      <c r="A2" s="63" t="s">
        <v>90</v>
      </c>
      <c r="B2" s="63"/>
      <c r="C2" s="63"/>
      <c r="D2" s="63"/>
      <c r="E2" s="63"/>
    </row>
    <row r="3" spans="1:5" x14ac:dyDescent="0.35">
      <c r="A3" s="43" t="s">
        <v>0</v>
      </c>
      <c r="B3" s="44" t="str">
        <f>Payroll_Februari_2026!A5</f>
        <v>3271062612000018</v>
      </c>
      <c r="C3" s="45"/>
      <c r="D3" s="43" t="s">
        <v>2</v>
      </c>
      <c r="E3" s="46" t="str">
        <f>VLOOKUP(Payroll_Februari_2026!A5,Data_Karyawan!A:F,3,FALSE())</f>
        <v>Analyst</v>
      </c>
    </row>
    <row r="4" spans="1:5" x14ac:dyDescent="0.35">
      <c r="A4" s="43" t="s">
        <v>1</v>
      </c>
      <c r="B4" s="46" t="str">
        <f>Payroll_Februari_2026!B5</f>
        <v>Dylan Eldiyano Ramadhan</v>
      </c>
      <c r="C4" s="45"/>
      <c r="D4" s="43" t="s">
        <v>5</v>
      </c>
      <c r="E4" s="46" t="str">
        <f>IFERROR(VLOOKUP(Payroll_Februari_2026!A5,Data_Karyawan!A:F,6,FALSE()),"-")</f>
        <v>TK/0</v>
      </c>
    </row>
    <row r="5" spans="1:5" x14ac:dyDescent="0.35">
      <c r="A5" s="43" t="s">
        <v>91</v>
      </c>
      <c r="B5" s="46">
        <f>Payroll_Februari_2026!H5</f>
        <v>19</v>
      </c>
      <c r="C5" s="45"/>
      <c r="D5" s="45"/>
      <c r="E5" s="45"/>
    </row>
    <row r="7" spans="1:5" x14ac:dyDescent="0.35">
      <c r="A7" s="64" t="s">
        <v>92</v>
      </c>
      <c r="B7" s="64"/>
      <c r="C7" s="47"/>
      <c r="D7" s="65" t="s">
        <v>93</v>
      </c>
      <c r="E7" s="65"/>
    </row>
    <row r="8" spans="1:5" x14ac:dyDescent="0.35">
      <c r="A8" s="48" t="s">
        <v>94</v>
      </c>
      <c r="B8" s="49">
        <f>Payroll_Februari_2026!I5</f>
        <v>18000000</v>
      </c>
      <c r="C8" s="47"/>
      <c r="D8" s="48" t="s">
        <v>95</v>
      </c>
      <c r="E8" s="49">
        <f>ABS(Payroll_Februari_2026!N5)</f>
        <v>52887.96</v>
      </c>
    </row>
    <row r="9" spans="1:5" x14ac:dyDescent="0.35">
      <c r="A9" s="50" t="s">
        <v>96</v>
      </c>
      <c r="B9" s="51">
        <f>Payroll_Februari_2026!S5</f>
        <v>220000</v>
      </c>
      <c r="C9" s="47"/>
      <c r="D9" s="50" t="s">
        <v>97</v>
      </c>
      <c r="E9" s="51">
        <f>ABS(Payroll_Februari_2026!O5)</f>
        <v>100000</v>
      </c>
    </row>
    <row r="10" spans="1:5" x14ac:dyDescent="0.35">
      <c r="A10" s="48" t="s">
        <v>98</v>
      </c>
      <c r="B10" s="49">
        <f>Payroll_Februari_2026!T5</f>
        <v>0</v>
      </c>
      <c r="C10" s="47"/>
      <c r="D10" s="48" t="s">
        <v>79</v>
      </c>
      <c r="E10" s="49">
        <f>ABS(IF(Payroll_Februari_2026!P5="",0,Payroll_Februari_2026!P5))</f>
        <v>260300</v>
      </c>
    </row>
    <row r="11" spans="1:5" x14ac:dyDescent="0.35">
      <c r="A11" s="50" t="s">
        <v>99</v>
      </c>
      <c r="B11" s="51">
        <f>IF(Payroll_Februari_2026!V5="",0,Payroll_Februari_2026!V5)</f>
        <v>0</v>
      </c>
      <c r="C11" s="47"/>
      <c r="D11" s="50" t="s">
        <v>100</v>
      </c>
      <c r="E11" s="51">
        <f>ABS(IF(Payroll_Februari_2026!R5="",0,Payroll_Februari_2026!R5))</f>
        <v>0</v>
      </c>
    </row>
    <row r="13" spans="1:5" x14ac:dyDescent="0.35">
      <c r="A13" s="52" t="s">
        <v>101</v>
      </c>
      <c r="B13" s="53">
        <f>SUM(B8:B11)</f>
        <v>18220000</v>
      </c>
      <c r="C13" s="47"/>
      <c r="D13" s="54" t="s">
        <v>102</v>
      </c>
      <c r="E13" s="55">
        <f>SUM(E8:E11)</f>
        <v>413187.95999999996</v>
      </c>
    </row>
    <row r="15" spans="1:5" ht="27.75" customHeight="1" x14ac:dyDescent="0.35">
      <c r="A15" s="59" t="s">
        <v>86</v>
      </c>
      <c r="B15" s="59"/>
      <c r="C15" s="59"/>
      <c r="D15" s="59"/>
      <c r="E15" s="56">
        <f>Payroll_Februari_2026!W5</f>
        <v>17806812.039999999</v>
      </c>
    </row>
    <row r="16" spans="1:5" x14ac:dyDescent="0.35">
      <c r="A16" s="60" t="str">
        <f>" BPJS Kes (Perusahaan): "&amp;TEXT(Payroll_Februari_2026!J5,"#,##0")&amp;"  |  JHT: "&amp;TEXT(Payroll_Februari_2026!K5,"#,##0")&amp;"  |  JKK: "&amp;TEXT(Payroll_Februari_2026!L5,"#,##0")&amp;"  |  JKM: "&amp;TEXT(Payroll_Februari_2026!M5,"#,##0")</f>
        <v xml:space="preserve"> BPJS Kes (Perusahaan): 211,552  |  JHT: 185,000  |  JKK: 12,000  |  JKM: 15,000</v>
      </c>
      <c r="B16" s="60"/>
      <c r="C16" s="60"/>
      <c r="D16" s="60"/>
      <c r="E16" s="60"/>
    </row>
    <row r="17" spans="1:5" x14ac:dyDescent="0.35">
      <c r="A17" s="57"/>
      <c r="B17" s="57"/>
      <c r="C17" s="57"/>
      <c r="D17" s="57"/>
      <c r="E17" s="57"/>
    </row>
    <row r="20" spans="1:5" ht="15" customHeight="1" x14ac:dyDescent="0.35"/>
    <row r="21" spans="1:5" ht="77" customHeight="1" x14ac:dyDescent="0.35">
      <c r="A21" s="61" t="s">
        <v>103</v>
      </c>
      <c r="B21" s="62"/>
      <c r="C21" s="62"/>
      <c r="D21" s="62"/>
      <c r="E21" s="62"/>
    </row>
    <row r="22" spans="1:5" ht="21.75" customHeight="1" x14ac:dyDescent="0.35">
      <c r="A22" s="63" t="s">
        <v>90</v>
      </c>
      <c r="B22" s="63"/>
      <c r="C22" s="63"/>
      <c r="D22" s="63"/>
      <c r="E22" s="63"/>
    </row>
    <row r="23" spans="1:5" x14ac:dyDescent="0.35">
      <c r="A23" s="43" t="s">
        <v>0</v>
      </c>
      <c r="B23" s="44" t="str">
        <f>Payroll_Februari_2026!A6</f>
        <v>3402122812860002</v>
      </c>
      <c r="C23" s="45"/>
      <c r="D23" s="43" t="s">
        <v>2</v>
      </c>
      <c r="E23" s="46" t="str">
        <f>VLOOKUP(Payroll_Februari_2026!A6,Data_Karyawan!A:F,3,FALSE())</f>
        <v>Analyst</v>
      </c>
    </row>
    <row r="24" spans="1:5" x14ac:dyDescent="0.35">
      <c r="A24" s="43" t="s">
        <v>1</v>
      </c>
      <c r="B24" s="46" t="str">
        <f>Payroll_Februari_2026!B6</f>
        <v xml:space="preserve">Berlianagara A. H </v>
      </c>
      <c r="C24" s="45"/>
      <c r="D24" s="43" t="s">
        <v>5</v>
      </c>
      <c r="E24" s="46" t="str">
        <f>IFERROR(VLOOKUP(Payroll_Februari_2026!A6,Data_Karyawan!A:F,6,FALSE()),"-")</f>
        <v>K/3</v>
      </c>
    </row>
    <row r="25" spans="1:5" x14ac:dyDescent="0.35">
      <c r="A25" s="43" t="s">
        <v>91</v>
      </c>
      <c r="B25" s="46">
        <f>Payroll_Februari_2026!H6</f>
        <v>19</v>
      </c>
      <c r="C25" s="45"/>
      <c r="D25" s="45"/>
      <c r="E25" s="45"/>
    </row>
    <row r="27" spans="1:5" x14ac:dyDescent="0.35">
      <c r="A27" s="64" t="s">
        <v>92</v>
      </c>
      <c r="B27" s="64"/>
      <c r="C27" s="47"/>
      <c r="D27" s="65" t="s">
        <v>93</v>
      </c>
      <c r="E27" s="65"/>
    </row>
    <row r="28" spans="1:5" x14ac:dyDescent="0.35">
      <c r="A28" s="48" t="s">
        <v>94</v>
      </c>
      <c r="B28" s="49">
        <f>Payroll_Februari_2026!I6</f>
        <v>6000000</v>
      </c>
      <c r="C28" s="47"/>
      <c r="D28" s="48" t="s">
        <v>95</v>
      </c>
      <c r="E28" s="49">
        <f>ABS(Payroll_Februari_2026!N6)</f>
        <v>52887.96</v>
      </c>
    </row>
    <row r="29" spans="1:5" x14ac:dyDescent="0.35">
      <c r="A29" s="50" t="s">
        <v>96</v>
      </c>
      <c r="B29" s="51">
        <f>Payroll_Februari_2026!S6</f>
        <v>220000</v>
      </c>
      <c r="C29" s="47"/>
      <c r="D29" s="50" t="s">
        <v>97</v>
      </c>
      <c r="E29" s="51">
        <f>ABS(Payroll_Februari_2026!O6)</f>
        <v>100000</v>
      </c>
    </row>
    <row r="30" spans="1:5" x14ac:dyDescent="0.35">
      <c r="A30" s="48" t="s">
        <v>98</v>
      </c>
      <c r="B30" s="49">
        <f>Payroll_Februari_2026!T6</f>
        <v>475000</v>
      </c>
      <c r="C30" s="47"/>
      <c r="D30" s="48" t="s">
        <v>79</v>
      </c>
      <c r="E30" s="49">
        <f>ABS(IF(Payroll_Februari_2026!P6="",0,Payroll_Februari_2026!P6))</f>
        <v>0</v>
      </c>
    </row>
    <row r="31" spans="1:5" x14ac:dyDescent="0.35">
      <c r="A31" s="50" t="s">
        <v>99</v>
      </c>
      <c r="B31" s="51">
        <f>IF(Payroll_Februari_2026!V6="",0,Payroll_Februari_2026!V6)</f>
        <v>0</v>
      </c>
      <c r="C31" s="47"/>
      <c r="D31" s="50" t="s">
        <v>100</v>
      </c>
      <c r="E31" s="51">
        <f>ABS(IF(Payroll_Februari_2026!R6="",0,Payroll_Februari_2026!R6))</f>
        <v>0</v>
      </c>
    </row>
    <row r="33" spans="1:5" x14ac:dyDescent="0.35">
      <c r="A33" s="52" t="s">
        <v>101</v>
      </c>
      <c r="B33" s="53">
        <f>SUM(B28:B31)</f>
        <v>6695000</v>
      </c>
      <c r="C33" s="47"/>
      <c r="D33" s="54" t="s">
        <v>102</v>
      </c>
      <c r="E33" s="55">
        <f>SUM(E28:E31)</f>
        <v>152887.96</v>
      </c>
    </row>
    <row r="35" spans="1:5" ht="27.75" customHeight="1" x14ac:dyDescent="0.35">
      <c r="A35" s="59" t="s">
        <v>86</v>
      </c>
      <c r="B35" s="59"/>
      <c r="C35" s="59"/>
      <c r="D35" s="59"/>
      <c r="E35" s="56">
        <f>Payroll_Februari_2026!W6</f>
        <v>6542112.04</v>
      </c>
    </row>
    <row r="36" spans="1:5" x14ac:dyDescent="0.35">
      <c r="A36" s="60" t="str">
        <f>" BPJS Kes (Perusahaan): "&amp;TEXT(Payroll_Februari_2026!J6,"#,##0")&amp;"  |  JHT: "&amp;TEXT(Payroll_Februari_2026!K6,"#,##0")&amp;"  |  JKK: "&amp;TEXT(Payroll_Februari_2026!L6,"#,##0")&amp;"  |  JKM: "&amp;TEXT(Payroll_Februari_2026!M6,"#,##0")</f>
        <v xml:space="preserve"> BPJS Kes (Perusahaan): 211,552  |  JHT: 185,000  |  JKK: 12,000  |  JKM: 15,000</v>
      </c>
      <c r="B36" s="60"/>
      <c r="C36" s="60"/>
      <c r="D36" s="60"/>
      <c r="E36" s="60"/>
    </row>
    <row r="37" spans="1:5" x14ac:dyDescent="0.35">
      <c r="A37" s="57"/>
      <c r="B37" s="57"/>
      <c r="C37" s="57"/>
      <c r="D37" s="57"/>
      <c r="E37" s="57"/>
    </row>
    <row r="40" spans="1:5" ht="15" customHeight="1" x14ac:dyDescent="0.35"/>
    <row r="41" spans="1:5" ht="70.5" customHeight="1" x14ac:dyDescent="0.35">
      <c r="A41" s="61" t="s">
        <v>103</v>
      </c>
      <c r="B41" s="62"/>
      <c r="C41" s="62"/>
      <c r="D41" s="62"/>
      <c r="E41" s="62"/>
    </row>
    <row r="42" spans="1:5" ht="21.75" customHeight="1" x14ac:dyDescent="0.35">
      <c r="A42" s="63" t="s">
        <v>90</v>
      </c>
      <c r="B42" s="63"/>
      <c r="C42" s="63"/>
      <c r="D42" s="63"/>
      <c r="E42" s="63"/>
    </row>
    <row r="43" spans="1:5" x14ac:dyDescent="0.35">
      <c r="A43" s="43" t="s">
        <v>0</v>
      </c>
      <c r="B43" s="44" t="str">
        <f>Payroll_Februari_2026!A7</f>
        <v>0000000000000000</v>
      </c>
      <c r="C43" s="45"/>
      <c r="D43" s="43" t="s">
        <v>2</v>
      </c>
      <c r="E43" s="46" t="str">
        <f>VLOOKUP(Payroll_Februari_2026!A7,Data_Karyawan!A:F,3,FALSE())</f>
        <v>Analyst</v>
      </c>
    </row>
    <row r="44" spans="1:5" x14ac:dyDescent="0.35">
      <c r="A44" s="43" t="s">
        <v>1</v>
      </c>
      <c r="B44" s="46" t="str">
        <f>Payroll_Februari_2026!B7</f>
        <v>Zwin</v>
      </c>
      <c r="C44" s="45"/>
      <c r="D44" s="43" t="s">
        <v>5</v>
      </c>
      <c r="E44" s="46">
        <f>IFERROR(VLOOKUP(Payroll_Februari_2026!A7,Data_Karyawan!A:F,6,FALSE()),"-")</f>
        <v>0</v>
      </c>
    </row>
    <row r="45" spans="1:5" x14ac:dyDescent="0.35">
      <c r="A45" s="43" t="s">
        <v>91</v>
      </c>
      <c r="B45" s="46">
        <f>Payroll_Februari_2026!H7</f>
        <v>14</v>
      </c>
      <c r="C45" s="45"/>
      <c r="D45" s="45"/>
      <c r="E45" s="45"/>
    </row>
    <row r="47" spans="1:5" x14ac:dyDescent="0.35">
      <c r="A47" s="64" t="s">
        <v>92</v>
      </c>
      <c r="B47" s="64"/>
      <c r="C47" s="47"/>
      <c r="D47" s="65" t="s">
        <v>93</v>
      </c>
      <c r="E47" s="65"/>
    </row>
    <row r="48" spans="1:5" x14ac:dyDescent="0.35">
      <c r="A48" s="48" t="s">
        <v>94</v>
      </c>
      <c r="B48" s="49">
        <f>Payroll_Februari_2026!I7</f>
        <v>4222105.2631578948</v>
      </c>
      <c r="C48" s="47"/>
      <c r="D48" s="48" t="s">
        <v>95</v>
      </c>
      <c r="E48" s="49">
        <f>ABS(Payroll_Februari_2026!N7)</f>
        <v>0</v>
      </c>
    </row>
    <row r="49" spans="1:5" x14ac:dyDescent="0.35">
      <c r="A49" s="50" t="s">
        <v>96</v>
      </c>
      <c r="B49" s="51">
        <f>Payroll_Februari_2026!S7</f>
        <v>220000</v>
      </c>
      <c r="C49" s="47"/>
      <c r="D49" s="50" t="s">
        <v>97</v>
      </c>
      <c r="E49" s="51">
        <f>ABS(Payroll_Februari_2026!O7)</f>
        <v>0</v>
      </c>
    </row>
    <row r="50" spans="1:5" x14ac:dyDescent="0.35">
      <c r="A50" s="48" t="s">
        <v>98</v>
      </c>
      <c r="B50" s="49">
        <f>Payroll_Februari_2026!T7</f>
        <v>350000</v>
      </c>
      <c r="C50" s="47"/>
      <c r="D50" s="48" t="s">
        <v>79</v>
      </c>
      <c r="E50" s="49">
        <f>ABS(IF(Payroll_Februari_2026!P7="",0,Payroll_Februari_2026!P7))</f>
        <v>0</v>
      </c>
    </row>
    <row r="51" spans="1:5" x14ac:dyDescent="0.35">
      <c r="A51" s="50" t="s">
        <v>99</v>
      </c>
      <c r="B51" s="51">
        <f>IF(Payroll_Februari_2026!V7="",0,Payroll_Februari_2026!V7)</f>
        <v>0</v>
      </c>
      <c r="C51" s="47"/>
      <c r="D51" s="50" t="s">
        <v>100</v>
      </c>
      <c r="E51" s="51">
        <f>ABS(IF(Payroll_Februari_2026!R7="",0,Payroll_Februari_2026!R7))</f>
        <v>0</v>
      </c>
    </row>
    <row r="53" spans="1:5" x14ac:dyDescent="0.35">
      <c r="A53" s="52" t="s">
        <v>101</v>
      </c>
      <c r="B53" s="53">
        <f>SUM(B48:B51)</f>
        <v>4792105.2631578948</v>
      </c>
      <c r="C53" s="47"/>
      <c r="D53" s="54" t="s">
        <v>102</v>
      </c>
      <c r="E53" s="55">
        <f>SUM(E48:E51)</f>
        <v>0</v>
      </c>
    </row>
    <row r="55" spans="1:5" ht="27.75" customHeight="1" x14ac:dyDescent="0.35">
      <c r="A55" s="59" t="s">
        <v>86</v>
      </c>
      <c r="B55" s="59"/>
      <c r="C55" s="59"/>
      <c r="D55" s="59"/>
      <c r="E55" s="56">
        <f>Payroll_Februari_2026!W7</f>
        <v>4792105.2631578948</v>
      </c>
    </row>
    <row r="56" spans="1:5" x14ac:dyDescent="0.35">
      <c r="A56" s="60" t="str">
        <f>" BPJS Kes (Perusahaan): "&amp;TEXT(Payroll_Februari_2026!J7,"#,##0")&amp;"  |  JHT: "&amp;TEXT(Payroll_Februari_2026!K7,"#,##0")&amp;"  |  JKK: "&amp;TEXT(Payroll_Februari_2026!L7,"#,##0")&amp;"  |  JKM: "&amp;TEXT(Payroll_Februari_2026!M7,"#,##0")</f>
        <v xml:space="preserve"> BPJS Kes (Perusahaan): 0  |  JHT: 0  |  JKK: 0  |  JKM: 0</v>
      </c>
      <c r="B56" s="60"/>
      <c r="C56" s="60"/>
      <c r="D56" s="60"/>
      <c r="E56" s="60"/>
    </row>
    <row r="57" spans="1:5" x14ac:dyDescent="0.35">
      <c r="A57" s="57"/>
      <c r="B57" s="57"/>
      <c r="C57" s="57"/>
      <c r="D57" s="57"/>
      <c r="E57" s="57"/>
    </row>
    <row r="60" spans="1:5" ht="15" customHeight="1" x14ac:dyDescent="0.35"/>
    <row r="61" spans="1:5" ht="71" customHeight="1" x14ac:dyDescent="0.35">
      <c r="A61" s="61" t="s">
        <v>103</v>
      </c>
      <c r="B61" s="62"/>
      <c r="C61" s="62"/>
      <c r="D61" s="62"/>
      <c r="E61" s="62"/>
    </row>
    <row r="62" spans="1:5" ht="21.75" customHeight="1" x14ac:dyDescent="0.35">
      <c r="A62" s="63" t="s">
        <v>90</v>
      </c>
      <c r="B62" s="63"/>
      <c r="C62" s="63"/>
      <c r="D62" s="63"/>
      <c r="E62" s="63"/>
    </row>
    <row r="63" spans="1:5" x14ac:dyDescent="0.35">
      <c r="A63" s="43" t="s">
        <v>0</v>
      </c>
      <c r="B63" s="44" t="str">
        <f>Payroll_Februari_2026!A8</f>
        <v>3578105610980006</v>
      </c>
      <c r="C63" s="45"/>
      <c r="D63" s="43" t="s">
        <v>2</v>
      </c>
      <c r="E63" s="46" t="str">
        <f>VLOOKUP(Payroll_Februari_2026!A8,Data_Karyawan!A:F,3,FALSE())</f>
        <v>Finance</v>
      </c>
    </row>
    <row r="64" spans="1:5" x14ac:dyDescent="0.35">
      <c r="A64" s="43" t="s">
        <v>1</v>
      </c>
      <c r="B64" s="46" t="str">
        <f>Payroll_Februari_2026!B8</f>
        <v>Nabilla Firdaus Palesta Lihawa</v>
      </c>
      <c r="C64" s="45"/>
      <c r="D64" s="43" t="s">
        <v>5</v>
      </c>
      <c r="E64" s="46" t="str">
        <f>IFERROR(VLOOKUP(Payroll_Februari_2026!A8,Data_Karyawan!A:F,6,FALSE()),"-")</f>
        <v>TK/0</v>
      </c>
    </row>
    <row r="65" spans="1:5" x14ac:dyDescent="0.35">
      <c r="A65" s="43" t="s">
        <v>91</v>
      </c>
      <c r="B65" s="46">
        <f>Payroll_Februari_2026!H8</f>
        <v>19</v>
      </c>
      <c r="C65" s="45"/>
      <c r="D65" s="45"/>
      <c r="E65" s="45"/>
    </row>
    <row r="67" spans="1:5" x14ac:dyDescent="0.35">
      <c r="A67" s="64" t="s">
        <v>92</v>
      </c>
      <c r="B67" s="64"/>
      <c r="C67" s="47"/>
      <c r="D67" s="65" t="s">
        <v>93</v>
      </c>
      <c r="E67" s="65"/>
    </row>
    <row r="68" spans="1:5" x14ac:dyDescent="0.35">
      <c r="A68" s="48" t="s">
        <v>94</v>
      </c>
      <c r="B68" s="49">
        <f>Payroll_Februari_2026!I8</f>
        <v>7000000</v>
      </c>
      <c r="C68" s="47"/>
      <c r="D68" s="48" t="s">
        <v>95</v>
      </c>
      <c r="E68" s="49">
        <f>ABS(Payroll_Februari_2026!N8)</f>
        <v>52887.96</v>
      </c>
    </row>
    <row r="69" spans="1:5" x14ac:dyDescent="0.35">
      <c r="A69" s="50" t="s">
        <v>96</v>
      </c>
      <c r="B69" s="51">
        <f>Payroll_Februari_2026!S8</f>
        <v>220000</v>
      </c>
      <c r="C69" s="47"/>
      <c r="D69" s="50" t="s">
        <v>97</v>
      </c>
      <c r="E69" s="51">
        <f>ABS(Payroll_Februari_2026!O8)</f>
        <v>100000</v>
      </c>
    </row>
    <row r="70" spans="1:5" x14ac:dyDescent="0.35">
      <c r="A70" s="48" t="s">
        <v>98</v>
      </c>
      <c r="B70" s="49">
        <f>Payroll_Februari_2026!T8</f>
        <v>475000</v>
      </c>
      <c r="C70" s="47"/>
      <c r="D70" s="48" t="s">
        <v>79</v>
      </c>
      <c r="E70" s="49">
        <f>ABS(IF(Payroll_Februari_2026!P8="",0,Payroll_Februari_2026!P8))</f>
        <v>0</v>
      </c>
    </row>
    <row r="71" spans="1:5" x14ac:dyDescent="0.35">
      <c r="A71" s="50" t="s">
        <v>99</v>
      </c>
      <c r="B71" s="51">
        <f>IF(Payroll_Februari_2026!V8="",0,Payroll_Februari_2026!V8)</f>
        <v>0</v>
      </c>
      <c r="C71" s="47"/>
      <c r="D71" s="50" t="s">
        <v>100</v>
      </c>
      <c r="E71" s="51">
        <f>ABS(IF(Payroll_Februari_2026!R8="",0,Payroll_Februari_2026!R8))</f>
        <v>0</v>
      </c>
    </row>
    <row r="73" spans="1:5" x14ac:dyDescent="0.35">
      <c r="A73" s="52" t="s">
        <v>101</v>
      </c>
      <c r="B73" s="53">
        <f>SUM(B68:B71)</f>
        <v>7695000</v>
      </c>
      <c r="C73" s="47"/>
      <c r="D73" s="54" t="s">
        <v>102</v>
      </c>
      <c r="E73" s="55">
        <f>SUM(E68:E71)</f>
        <v>152887.96</v>
      </c>
    </row>
    <row r="75" spans="1:5" ht="27.75" customHeight="1" x14ac:dyDescent="0.35">
      <c r="A75" s="59" t="s">
        <v>86</v>
      </c>
      <c r="B75" s="59"/>
      <c r="C75" s="59"/>
      <c r="D75" s="59"/>
      <c r="E75" s="56">
        <f>Payroll_Februari_2026!W8</f>
        <v>7542112.04</v>
      </c>
    </row>
    <row r="76" spans="1:5" x14ac:dyDescent="0.35">
      <c r="A76" s="60" t="str">
        <f>" BPJS Kes (Perusahaan): "&amp;TEXT(Payroll_Februari_2026!J8,"#,##0")&amp;"  |  JHT: "&amp;TEXT(Payroll_Februari_2026!K8,"#,##0")&amp;"  |  JKK: "&amp;TEXT(Payroll_Februari_2026!L8,"#,##0")&amp;"  |  JKM: "&amp;TEXT(Payroll_Februari_2026!M8,"#,##0")</f>
        <v xml:space="preserve"> BPJS Kes (Perusahaan): 211,552  |  JHT: 185,000  |  JKK: 12,000  |  JKM: 15,000</v>
      </c>
      <c r="B76" s="60"/>
      <c r="C76" s="60"/>
      <c r="D76" s="60"/>
      <c r="E76" s="60"/>
    </row>
    <row r="77" spans="1:5" x14ac:dyDescent="0.35">
      <c r="A77" s="57"/>
      <c r="B77" s="57"/>
      <c r="C77" s="57"/>
      <c r="D77" s="57"/>
      <c r="E77" s="57"/>
    </row>
    <row r="80" spans="1:5" ht="15" customHeight="1" x14ac:dyDescent="0.35"/>
    <row r="81" spans="1:5" ht="70.5" customHeight="1" x14ac:dyDescent="0.35">
      <c r="A81" s="61" t="s">
        <v>103</v>
      </c>
      <c r="B81" s="62"/>
      <c r="C81" s="62"/>
      <c r="D81" s="62"/>
      <c r="E81" s="62"/>
    </row>
    <row r="82" spans="1:5" ht="21.75" customHeight="1" x14ac:dyDescent="0.35">
      <c r="A82" s="63" t="s">
        <v>90</v>
      </c>
      <c r="B82" s="63"/>
      <c r="C82" s="63"/>
      <c r="D82" s="63"/>
      <c r="E82" s="63"/>
    </row>
    <row r="83" spans="1:5" x14ac:dyDescent="0.35">
      <c r="A83" s="43" t="s">
        <v>0</v>
      </c>
      <c r="B83" s="44" t="str">
        <f>Payroll_Februari_2026!A9</f>
        <v>3509066607020002</v>
      </c>
      <c r="C83" s="45"/>
      <c r="D83" s="43" t="s">
        <v>2</v>
      </c>
      <c r="E83" s="46" t="str">
        <f>VLOOKUP(Payroll_Februari_2026!A9,Data_Karyawan!A:F,3,FALSE())</f>
        <v xml:space="preserve">Personal Assitant </v>
      </c>
    </row>
    <row r="84" spans="1:5" x14ac:dyDescent="0.35">
      <c r="A84" s="43" t="s">
        <v>1</v>
      </c>
      <c r="B84" s="46" t="str">
        <f>Payroll_Februari_2026!B9</f>
        <v xml:space="preserve">Fiagem Dwi Woro Bahwani </v>
      </c>
      <c r="C84" s="45"/>
      <c r="D84" s="43" t="s">
        <v>5</v>
      </c>
      <c r="E84" s="46" t="str">
        <f>IFERROR(VLOOKUP(Payroll_Februari_2026!A9,Data_Karyawan!A:F,6,FALSE()),"-")</f>
        <v>TK/0</v>
      </c>
    </row>
    <row r="85" spans="1:5" x14ac:dyDescent="0.35">
      <c r="A85" s="43" t="s">
        <v>91</v>
      </c>
      <c r="B85" s="46">
        <f>Payroll_Februari_2026!H9</f>
        <v>19</v>
      </c>
      <c r="C85" s="45"/>
      <c r="D85" s="45"/>
      <c r="E85" s="45"/>
    </row>
    <row r="87" spans="1:5" x14ac:dyDescent="0.35">
      <c r="A87" s="64" t="s">
        <v>92</v>
      </c>
      <c r="B87" s="64"/>
      <c r="C87" s="47"/>
      <c r="D87" s="65" t="s">
        <v>93</v>
      </c>
      <c r="E87" s="65"/>
    </row>
    <row r="88" spans="1:5" x14ac:dyDescent="0.35">
      <c r="A88" s="48" t="s">
        <v>94</v>
      </c>
      <c r="B88" s="49">
        <f>Payroll_Februari_2026!I9</f>
        <v>5000000</v>
      </c>
      <c r="C88" s="47"/>
      <c r="D88" s="48" t="s">
        <v>95</v>
      </c>
      <c r="E88" s="49">
        <f>ABS(Payroll_Februari_2026!N9)</f>
        <v>0</v>
      </c>
    </row>
    <row r="89" spans="1:5" x14ac:dyDescent="0.35">
      <c r="A89" s="50" t="s">
        <v>96</v>
      </c>
      <c r="B89" s="51">
        <f>Payroll_Februari_2026!S9</f>
        <v>220000</v>
      </c>
      <c r="C89" s="47"/>
      <c r="D89" s="50" t="s">
        <v>97</v>
      </c>
      <c r="E89" s="51">
        <f>ABS(Payroll_Februari_2026!O9)</f>
        <v>0</v>
      </c>
    </row>
    <row r="90" spans="1:5" x14ac:dyDescent="0.35">
      <c r="A90" s="48" t="s">
        <v>98</v>
      </c>
      <c r="B90" s="49">
        <f>Payroll_Februari_2026!T9</f>
        <v>475000</v>
      </c>
      <c r="C90" s="47"/>
      <c r="D90" s="48" t="s">
        <v>79</v>
      </c>
      <c r="E90" s="49">
        <f>ABS(IF(Payroll_Februari_2026!P9="",0,Payroll_Februari_2026!P9))</f>
        <v>0</v>
      </c>
    </row>
    <row r="91" spans="1:5" x14ac:dyDescent="0.35">
      <c r="A91" s="50" t="s">
        <v>99</v>
      </c>
      <c r="B91" s="51">
        <f>IF(Payroll_Februari_2026!V9="",0,Payroll_Februari_2026!V9)</f>
        <v>0</v>
      </c>
      <c r="C91" s="47"/>
      <c r="D91" s="50" t="s">
        <v>100</v>
      </c>
      <c r="E91" s="51">
        <f>ABS(IF(Payroll_Februari_2026!R9="",0,Payroll_Februari_2026!R9))</f>
        <v>0</v>
      </c>
    </row>
    <row r="93" spans="1:5" x14ac:dyDescent="0.35">
      <c r="A93" s="52" t="s">
        <v>101</v>
      </c>
      <c r="B93" s="53">
        <f>SUM(B88:B91)</f>
        <v>5695000</v>
      </c>
      <c r="C93" s="47"/>
      <c r="D93" s="54" t="s">
        <v>102</v>
      </c>
      <c r="E93" s="55">
        <f>SUM(E88:E91)</f>
        <v>0</v>
      </c>
    </row>
    <row r="95" spans="1:5" ht="27.75" customHeight="1" x14ac:dyDescent="0.35">
      <c r="A95" s="59" t="s">
        <v>86</v>
      </c>
      <c r="B95" s="59"/>
      <c r="C95" s="59"/>
      <c r="D95" s="59"/>
      <c r="E95" s="56">
        <f>Payroll_Februari_2026!W9</f>
        <v>5695000</v>
      </c>
    </row>
    <row r="96" spans="1:5" x14ac:dyDescent="0.35">
      <c r="A96" s="60" t="str">
        <f>" BPJS Kes (Perusahaan): "&amp;TEXT(Payroll_Februari_2026!J9,"#,##0")&amp;"  |  JHT: "&amp;TEXT(Payroll_Februari_2026!K9,"#,##0")&amp;"  |  JKK: "&amp;TEXT(Payroll_Februari_2026!L9,"#,##0")&amp;"  |  JKM: "&amp;TEXT(Payroll_Februari_2026!M9,"#,##0")</f>
        <v xml:space="preserve"> BPJS Kes (Perusahaan): 0  |  JHT: 0  |  JKK: 0  |  JKM: 0</v>
      </c>
      <c r="B96" s="60"/>
      <c r="C96" s="60"/>
      <c r="D96" s="60"/>
      <c r="E96" s="60"/>
    </row>
    <row r="97" spans="1:5" x14ac:dyDescent="0.35">
      <c r="A97" s="57"/>
      <c r="B97" s="57"/>
      <c r="C97" s="57"/>
      <c r="D97" s="57"/>
      <c r="E97" s="57"/>
    </row>
    <row r="100" spans="1:5" ht="15" customHeight="1" x14ac:dyDescent="0.35"/>
    <row r="101" spans="1:5" ht="66.5" customHeight="1" x14ac:dyDescent="0.35">
      <c r="A101" s="61" t="s">
        <v>103</v>
      </c>
      <c r="B101" s="62"/>
      <c r="C101" s="62"/>
      <c r="D101" s="62"/>
      <c r="E101" s="62"/>
    </row>
    <row r="102" spans="1:5" ht="21.75" customHeight="1" x14ac:dyDescent="0.35">
      <c r="A102" s="63" t="s">
        <v>90</v>
      </c>
      <c r="B102" s="63"/>
      <c r="C102" s="63"/>
      <c r="D102" s="63"/>
      <c r="E102" s="63"/>
    </row>
    <row r="103" spans="1:5" x14ac:dyDescent="0.35">
      <c r="A103" s="43" t="s">
        <v>0</v>
      </c>
      <c r="B103" s="44" t="str">
        <f>Payroll_Februari_2026!A10</f>
        <v>3516132404020001</v>
      </c>
      <c r="C103" s="45"/>
      <c r="D103" s="43" t="s">
        <v>2</v>
      </c>
      <c r="E103" s="46" t="str">
        <f>VLOOKUP(Payroll_Februari_2026!A10,Data_Karyawan!A:F,3,FALSE())</f>
        <v>IT/Programmer</v>
      </c>
    </row>
    <row r="104" spans="1:5" x14ac:dyDescent="0.35">
      <c r="A104" s="43" t="s">
        <v>1</v>
      </c>
      <c r="B104" s="46" t="str">
        <f>Payroll_Februari_2026!B10</f>
        <v>Alfian Dwi Nugraha</v>
      </c>
      <c r="C104" s="45"/>
      <c r="D104" s="43" t="s">
        <v>5</v>
      </c>
      <c r="E104" s="46" t="str">
        <f>IFERROR(VLOOKUP(Payroll_Februari_2026!A10,Data_Karyawan!A:F,6,FALSE()),"-")</f>
        <v>TK/0</v>
      </c>
    </row>
    <row r="105" spans="1:5" x14ac:dyDescent="0.35">
      <c r="A105" s="43" t="s">
        <v>91</v>
      </c>
      <c r="B105" s="46">
        <f>Payroll_Februari_2026!H10</f>
        <v>19</v>
      </c>
      <c r="C105" s="45"/>
      <c r="D105" s="45"/>
      <c r="E105" s="45"/>
    </row>
    <row r="107" spans="1:5" x14ac:dyDescent="0.35">
      <c r="A107" s="64" t="s">
        <v>92</v>
      </c>
      <c r="B107" s="64"/>
      <c r="C107" s="47"/>
      <c r="D107" s="65" t="s">
        <v>93</v>
      </c>
      <c r="E107" s="65"/>
    </row>
    <row r="108" spans="1:5" x14ac:dyDescent="0.35">
      <c r="A108" s="48" t="s">
        <v>94</v>
      </c>
      <c r="B108" s="49">
        <f>Payroll_Februari_2026!I10</f>
        <v>7000000</v>
      </c>
      <c r="C108" s="47"/>
      <c r="D108" s="48" t="s">
        <v>95</v>
      </c>
      <c r="E108" s="49">
        <f>ABS(Payroll_Februari_2026!N10)</f>
        <v>52887.96</v>
      </c>
    </row>
    <row r="109" spans="1:5" x14ac:dyDescent="0.35">
      <c r="A109" s="50" t="s">
        <v>96</v>
      </c>
      <c r="B109" s="51">
        <f>Payroll_Februari_2026!S10</f>
        <v>220000</v>
      </c>
      <c r="C109" s="47"/>
      <c r="D109" s="50" t="s">
        <v>97</v>
      </c>
      <c r="E109" s="51">
        <f>ABS(Payroll_Februari_2026!O10)</f>
        <v>100000</v>
      </c>
    </row>
    <row r="110" spans="1:5" x14ac:dyDescent="0.35">
      <c r="A110" s="48" t="s">
        <v>98</v>
      </c>
      <c r="B110" s="49">
        <f>Payroll_Februari_2026!T10</f>
        <v>475000</v>
      </c>
      <c r="C110" s="47"/>
      <c r="D110" s="48" t="s">
        <v>79</v>
      </c>
      <c r="E110" s="49">
        <f>ABS(IF(Payroll_Februari_2026!P10="",0,Payroll_Februari_2026!P10))</f>
        <v>0</v>
      </c>
    </row>
    <row r="111" spans="1:5" x14ac:dyDescent="0.35">
      <c r="A111" s="50" t="s">
        <v>99</v>
      </c>
      <c r="B111" s="51">
        <f>IF(Payroll_Februari_2026!V10="",0,Payroll_Februari_2026!V10)</f>
        <v>5000000</v>
      </c>
      <c r="C111" s="47"/>
      <c r="D111" s="50" t="s">
        <v>100</v>
      </c>
      <c r="E111" s="51">
        <f>ABS(IF(Payroll_Februari_2026!R10="",0,Payroll_Februari_2026!R10))</f>
        <v>0</v>
      </c>
    </row>
    <row r="113" spans="1:5" x14ac:dyDescent="0.35">
      <c r="A113" s="52" t="s">
        <v>101</v>
      </c>
      <c r="B113" s="53">
        <f>SUM(B108:B111)</f>
        <v>12695000</v>
      </c>
      <c r="C113" s="47"/>
      <c r="D113" s="54" t="s">
        <v>102</v>
      </c>
      <c r="E113" s="55">
        <f>SUM(E108:E111)</f>
        <v>152887.96</v>
      </c>
    </row>
    <row r="115" spans="1:5" ht="27.75" customHeight="1" x14ac:dyDescent="0.35">
      <c r="A115" s="59" t="s">
        <v>86</v>
      </c>
      <c r="B115" s="59"/>
      <c r="C115" s="59"/>
      <c r="D115" s="59"/>
      <c r="E115" s="56">
        <f>Payroll_Februari_2026!W10</f>
        <v>12542112.039999999</v>
      </c>
    </row>
    <row r="116" spans="1:5" x14ac:dyDescent="0.35">
      <c r="A116" s="60" t="str">
        <f>" BPJS Kes (Perusahaan): "&amp;TEXT(Payroll_Februari_2026!J10,"#,##0")&amp;"  |  JHT: "&amp;TEXT(Payroll_Februari_2026!K10,"#,##0")&amp;"  |  JKK: "&amp;TEXT(Payroll_Februari_2026!L10,"#,##0")&amp;"  |  JKM: "&amp;TEXT(Payroll_Februari_2026!M10,"#,##0")</f>
        <v xml:space="preserve"> BPJS Kes (Perusahaan): 211,552  |  JHT: 185,000  |  JKK: 12,000  |  JKM: 15,000</v>
      </c>
      <c r="B116" s="60"/>
      <c r="C116" s="60"/>
      <c r="D116" s="60"/>
      <c r="E116" s="60"/>
    </row>
    <row r="117" spans="1:5" x14ac:dyDescent="0.35">
      <c r="A117" s="57"/>
      <c r="B117" s="57"/>
      <c r="C117" s="57"/>
      <c r="D117" s="57"/>
      <c r="E117" s="57"/>
    </row>
    <row r="120" spans="1:5" ht="15" customHeight="1" x14ac:dyDescent="0.35"/>
    <row r="121" spans="1:5" ht="68" customHeight="1" x14ac:dyDescent="0.35">
      <c r="A121" s="61" t="s">
        <v>103</v>
      </c>
      <c r="B121" s="62"/>
      <c r="C121" s="62"/>
      <c r="D121" s="62"/>
      <c r="E121" s="62"/>
    </row>
    <row r="122" spans="1:5" ht="21.75" customHeight="1" x14ac:dyDescent="0.35">
      <c r="A122" s="63" t="s">
        <v>90</v>
      </c>
      <c r="B122" s="63"/>
      <c r="C122" s="63"/>
      <c r="D122" s="63"/>
      <c r="E122" s="63"/>
    </row>
    <row r="123" spans="1:5" x14ac:dyDescent="0.35">
      <c r="A123" s="43" t="s">
        <v>0</v>
      </c>
      <c r="B123" s="44" t="str">
        <f>Payroll_Februari_2026!A11</f>
        <v>3506251905960002</v>
      </c>
      <c r="C123" s="45"/>
      <c r="D123" s="43" t="s">
        <v>2</v>
      </c>
      <c r="E123" s="46" t="str">
        <f>VLOOKUP(Payroll_Februari_2026!A11,Data_Karyawan!A:F,3,FALSE())</f>
        <v>Media</v>
      </c>
    </row>
    <row r="124" spans="1:5" x14ac:dyDescent="0.35">
      <c r="A124" s="43" t="s">
        <v>1</v>
      </c>
      <c r="B124" s="46" t="str">
        <f>Payroll_Februari_2026!B11</f>
        <v>Masrukin</v>
      </c>
      <c r="C124" s="45"/>
      <c r="D124" s="43" t="s">
        <v>5</v>
      </c>
      <c r="E124" s="46" t="str">
        <f>IFERROR(VLOOKUP(Payroll_Februari_2026!A11,Data_Karyawan!A:F,6,FALSE()),"-")</f>
        <v>TK/0</v>
      </c>
    </row>
    <row r="125" spans="1:5" x14ac:dyDescent="0.35">
      <c r="A125" s="43" t="s">
        <v>91</v>
      </c>
      <c r="B125" s="46">
        <f>Payroll_Februari_2026!H11</f>
        <v>19</v>
      </c>
      <c r="C125" s="45"/>
      <c r="D125" s="45"/>
      <c r="E125" s="45"/>
    </row>
    <row r="127" spans="1:5" x14ac:dyDescent="0.35">
      <c r="A127" s="64" t="s">
        <v>92</v>
      </c>
      <c r="B127" s="64"/>
      <c r="C127" s="47"/>
      <c r="D127" s="65" t="s">
        <v>93</v>
      </c>
      <c r="E127" s="65"/>
    </row>
    <row r="128" spans="1:5" x14ac:dyDescent="0.35">
      <c r="A128" s="48" t="s">
        <v>94</v>
      </c>
      <c r="B128" s="49">
        <f>Payroll_Februari_2026!I11</f>
        <v>7000000</v>
      </c>
      <c r="C128" s="47"/>
      <c r="D128" s="48" t="s">
        <v>95</v>
      </c>
      <c r="E128" s="49">
        <f>ABS(Payroll_Februari_2026!N11)</f>
        <v>52887.96</v>
      </c>
    </row>
    <row r="129" spans="1:5" x14ac:dyDescent="0.35">
      <c r="A129" s="50" t="s">
        <v>96</v>
      </c>
      <c r="B129" s="51">
        <f>Payroll_Februari_2026!S11</f>
        <v>220000</v>
      </c>
      <c r="C129" s="47"/>
      <c r="D129" s="50" t="s">
        <v>97</v>
      </c>
      <c r="E129" s="51">
        <f>ABS(Payroll_Februari_2026!O11)</f>
        <v>100000</v>
      </c>
    </row>
    <row r="130" spans="1:5" x14ac:dyDescent="0.35">
      <c r="A130" s="48" t="s">
        <v>98</v>
      </c>
      <c r="B130" s="49">
        <f>Payroll_Februari_2026!T11</f>
        <v>475000</v>
      </c>
      <c r="C130" s="47"/>
      <c r="D130" s="48" t="s">
        <v>79</v>
      </c>
      <c r="E130" s="49">
        <f>ABS(IF(Payroll_Februari_2026!P11="",0,Payroll_Februari_2026!P11))</f>
        <v>0</v>
      </c>
    </row>
    <row r="131" spans="1:5" x14ac:dyDescent="0.35">
      <c r="A131" s="50" t="s">
        <v>99</v>
      </c>
      <c r="B131" s="51">
        <f>IF(Payroll_Februari_2026!V11="",0,Payroll_Februari_2026!V11)</f>
        <v>0</v>
      </c>
      <c r="C131" s="47"/>
      <c r="D131" s="50" t="s">
        <v>100</v>
      </c>
      <c r="E131" s="51">
        <f>ABS(IF(Payroll_Februari_2026!R11="",0,Payroll_Februari_2026!R11))</f>
        <v>0</v>
      </c>
    </row>
    <row r="133" spans="1:5" x14ac:dyDescent="0.35">
      <c r="A133" s="52" t="s">
        <v>101</v>
      </c>
      <c r="B133" s="53">
        <f>SUM(B128:B131)</f>
        <v>7695000</v>
      </c>
      <c r="C133" s="47"/>
      <c r="D133" s="54" t="s">
        <v>102</v>
      </c>
      <c r="E133" s="55">
        <f>SUM(E128:E131)</f>
        <v>152887.96</v>
      </c>
    </row>
    <row r="135" spans="1:5" ht="27.75" customHeight="1" x14ac:dyDescent="0.35">
      <c r="A135" s="59" t="s">
        <v>86</v>
      </c>
      <c r="B135" s="59"/>
      <c r="C135" s="59"/>
      <c r="D135" s="59"/>
      <c r="E135" s="56">
        <f>Payroll_Februari_2026!W11</f>
        <v>7542112.04</v>
      </c>
    </row>
    <row r="136" spans="1:5" x14ac:dyDescent="0.35">
      <c r="A136" s="60" t="str">
        <f>" BPJS Kes (Perusahaan): "&amp;TEXT(Payroll_Februari_2026!J11,"#,##0")&amp;"  |  JHT: "&amp;TEXT(Payroll_Februari_2026!K11,"#,##0")&amp;"  |  JKK: "&amp;TEXT(Payroll_Februari_2026!L11,"#,##0")&amp;"  |  JKM: "&amp;TEXT(Payroll_Februari_2026!M11,"#,##0")</f>
        <v xml:space="preserve"> BPJS Kes (Perusahaan): 211,552  |  JHT: 185,000  |  JKK: 12,000  |  JKM: 15,000</v>
      </c>
      <c r="B136" s="60"/>
      <c r="C136" s="60"/>
      <c r="D136" s="60"/>
      <c r="E136" s="60"/>
    </row>
    <row r="137" spans="1:5" x14ac:dyDescent="0.35">
      <c r="A137" s="57"/>
      <c r="B137" s="57"/>
      <c r="C137" s="57"/>
      <c r="D137" s="57"/>
      <c r="E137" s="57"/>
    </row>
    <row r="140" spans="1:5" ht="15" customHeight="1" x14ac:dyDescent="0.35"/>
    <row r="141" spans="1:5" ht="68" customHeight="1" x14ac:dyDescent="0.35">
      <c r="A141" s="61" t="s">
        <v>103</v>
      </c>
      <c r="B141" s="62"/>
      <c r="C141" s="62"/>
      <c r="D141" s="62"/>
      <c r="E141" s="62"/>
    </row>
    <row r="142" spans="1:5" ht="21.75" customHeight="1" x14ac:dyDescent="0.35">
      <c r="A142" s="63" t="s">
        <v>90</v>
      </c>
      <c r="B142" s="63"/>
      <c r="C142" s="63"/>
      <c r="D142" s="63"/>
      <c r="E142" s="63"/>
    </row>
    <row r="143" spans="1:5" x14ac:dyDescent="0.35">
      <c r="A143" s="43" t="s">
        <v>0</v>
      </c>
      <c r="B143" s="44" t="str">
        <f>Payroll_Februari_2026!A12</f>
        <v>3509031207020013</v>
      </c>
      <c r="C143" s="45"/>
      <c r="D143" s="43" t="s">
        <v>2</v>
      </c>
      <c r="E143" s="46" t="str">
        <f>VLOOKUP(Payroll_Februari_2026!A12,Data_Karyawan!A:F,3,FALSE())</f>
        <v>Media</v>
      </c>
    </row>
    <row r="144" spans="1:5" x14ac:dyDescent="0.35">
      <c r="A144" s="43" t="s">
        <v>1</v>
      </c>
      <c r="B144" s="46" t="str">
        <f>Payroll_Februari_2026!B12</f>
        <v>Bowo Prayoga</v>
      </c>
      <c r="C144" s="45"/>
      <c r="D144" s="43" t="s">
        <v>5</v>
      </c>
      <c r="E144" s="46" t="str">
        <f>IFERROR(VLOOKUP(Payroll_Februari_2026!A12,Data_Karyawan!A:F,6,FALSE()),"-")</f>
        <v>TK/0</v>
      </c>
    </row>
    <row r="145" spans="1:5" x14ac:dyDescent="0.35">
      <c r="A145" s="43" t="s">
        <v>91</v>
      </c>
      <c r="B145" s="46">
        <f>Payroll_Februari_2026!H12</f>
        <v>19</v>
      </c>
      <c r="C145" s="45"/>
      <c r="D145" s="45"/>
      <c r="E145" s="45"/>
    </row>
    <row r="147" spans="1:5" x14ac:dyDescent="0.35">
      <c r="A147" s="64" t="s">
        <v>92</v>
      </c>
      <c r="B147" s="64"/>
      <c r="C147" s="47"/>
      <c r="D147" s="65" t="s">
        <v>93</v>
      </c>
      <c r="E147" s="65"/>
    </row>
    <row r="148" spans="1:5" x14ac:dyDescent="0.35">
      <c r="A148" s="48" t="s">
        <v>94</v>
      </c>
      <c r="B148" s="49">
        <f>Payroll_Februari_2026!I12</f>
        <v>5000000</v>
      </c>
      <c r="C148" s="47"/>
      <c r="D148" s="48" t="s">
        <v>95</v>
      </c>
      <c r="E148" s="49">
        <f>ABS(Payroll_Februari_2026!N12)</f>
        <v>52887.96</v>
      </c>
    </row>
    <row r="149" spans="1:5" x14ac:dyDescent="0.35">
      <c r="A149" s="50" t="s">
        <v>96</v>
      </c>
      <c r="B149" s="51">
        <f>Payroll_Februari_2026!S12</f>
        <v>220000</v>
      </c>
      <c r="C149" s="47"/>
      <c r="D149" s="50" t="s">
        <v>97</v>
      </c>
      <c r="E149" s="51">
        <f>ABS(Payroll_Februari_2026!O12)</f>
        <v>100000</v>
      </c>
    </row>
    <row r="150" spans="1:5" x14ac:dyDescent="0.35">
      <c r="A150" s="48" t="s">
        <v>98</v>
      </c>
      <c r="B150" s="49">
        <f>Payroll_Februari_2026!T12</f>
        <v>475000</v>
      </c>
      <c r="C150" s="47"/>
      <c r="D150" s="48" t="s">
        <v>79</v>
      </c>
      <c r="E150" s="49">
        <f>ABS(IF(Payroll_Februari_2026!P12="",0,Payroll_Februari_2026!P12))</f>
        <v>0</v>
      </c>
    </row>
    <row r="151" spans="1:5" x14ac:dyDescent="0.35">
      <c r="A151" s="50" t="s">
        <v>99</v>
      </c>
      <c r="B151" s="51">
        <f>IF(Payroll_Februari_2026!V12="",0,Payroll_Februari_2026!V12)</f>
        <v>0</v>
      </c>
      <c r="C151" s="47"/>
      <c r="D151" s="50" t="s">
        <v>100</v>
      </c>
      <c r="E151" s="51">
        <f>ABS(IF(Payroll_Februari_2026!R12="",0,Payroll_Februari_2026!R12))</f>
        <v>0</v>
      </c>
    </row>
    <row r="153" spans="1:5" x14ac:dyDescent="0.35">
      <c r="A153" s="52" t="s">
        <v>101</v>
      </c>
      <c r="B153" s="53">
        <f>SUM(B148:B151)</f>
        <v>5695000</v>
      </c>
      <c r="C153" s="47"/>
      <c r="D153" s="54" t="s">
        <v>102</v>
      </c>
      <c r="E153" s="55">
        <f>SUM(E148:E151)</f>
        <v>152887.96</v>
      </c>
    </row>
    <row r="155" spans="1:5" ht="27.75" customHeight="1" x14ac:dyDescent="0.35">
      <c r="A155" s="59" t="s">
        <v>86</v>
      </c>
      <c r="B155" s="59"/>
      <c r="C155" s="59"/>
      <c r="D155" s="59"/>
      <c r="E155" s="56">
        <f>Payroll_Februari_2026!W12</f>
        <v>5542112.04</v>
      </c>
    </row>
    <row r="156" spans="1:5" x14ac:dyDescent="0.35">
      <c r="A156" s="60" t="str">
        <f>" BPJS Kes (Perusahaan): "&amp;TEXT(Payroll_Februari_2026!J12,"#,##0")&amp;"  |  JHT: "&amp;TEXT(Payroll_Februari_2026!K12,"#,##0")&amp;"  |  JKK: "&amp;TEXT(Payroll_Februari_2026!L12,"#,##0")&amp;"  |  JKM: "&amp;TEXT(Payroll_Februari_2026!M12,"#,##0")</f>
        <v xml:space="preserve"> BPJS Kes (Perusahaan): 211,552  |  JHT: 185,000  |  JKK: 12,000  |  JKM: 15,000</v>
      </c>
      <c r="B156" s="60"/>
      <c r="C156" s="60"/>
      <c r="D156" s="60"/>
      <c r="E156" s="60"/>
    </row>
    <row r="157" spans="1:5" x14ac:dyDescent="0.35">
      <c r="A157" s="57"/>
      <c r="B157" s="57"/>
      <c r="C157" s="57"/>
      <c r="D157" s="57"/>
      <c r="E157" s="57"/>
    </row>
    <row r="160" spans="1:5" ht="15" customHeight="1" x14ac:dyDescent="0.35"/>
    <row r="161" spans="1:5" ht="69.5" customHeight="1" x14ac:dyDescent="0.35">
      <c r="A161" s="61" t="s">
        <v>103</v>
      </c>
      <c r="B161" s="62"/>
      <c r="C161" s="62"/>
      <c r="D161" s="62"/>
      <c r="E161" s="62"/>
    </row>
    <row r="162" spans="1:5" ht="21.75" customHeight="1" x14ac:dyDescent="0.35">
      <c r="A162" s="63" t="s">
        <v>90</v>
      </c>
      <c r="B162" s="63"/>
      <c r="C162" s="63"/>
      <c r="D162" s="63"/>
      <c r="E162" s="63"/>
    </row>
    <row r="163" spans="1:5" x14ac:dyDescent="0.35">
      <c r="A163" s="43" t="s">
        <v>0</v>
      </c>
      <c r="B163" s="44" t="str">
        <f>Payroll_Februari_2026!A13</f>
        <v>1802180809010001</v>
      </c>
      <c r="C163" s="45"/>
      <c r="D163" s="43" t="s">
        <v>2</v>
      </c>
      <c r="E163" s="46" t="str">
        <f>VLOOKUP(Payroll_Februari_2026!A13,Data_Karyawan!A:F,3,FALSE())</f>
        <v>Media</v>
      </c>
    </row>
    <row r="164" spans="1:5" x14ac:dyDescent="0.35">
      <c r="A164" s="43" t="s">
        <v>1</v>
      </c>
      <c r="B164" s="46" t="str">
        <f>Payroll_Februari_2026!B13</f>
        <v>Satria Baladewa Harahap</v>
      </c>
      <c r="C164" s="45"/>
      <c r="D164" s="43" t="s">
        <v>5</v>
      </c>
      <c r="E164" s="46" t="str">
        <f>IFERROR(VLOOKUP(Payroll_Februari_2026!A13,Data_Karyawan!A:F,6,FALSE()),"-")</f>
        <v>TK/0</v>
      </c>
    </row>
    <row r="165" spans="1:5" x14ac:dyDescent="0.35">
      <c r="A165" s="43" t="s">
        <v>91</v>
      </c>
      <c r="B165" s="46">
        <f>Payroll_Februari_2026!H13</f>
        <v>19</v>
      </c>
      <c r="C165" s="45"/>
      <c r="D165" s="45"/>
      <c r="E165" s="45"/>
    </row>
    <row r="167" spans="1:5" x14ac:dyDescent="0.35">
      <c r="A167" s="64" t="s">
        <v>92</v>
      </c>
      <c r="B167" s="64"/>
      <c r="C167" s="47"/>
      <c r="D167" s="65" t="s">
        <v>93</v>
      </c>
      <c r="E167" s="65"/>
    </row>
    <row r="168" spans="1:5" x14ac:dyDescent="0.35">
      <c r="A168" s="48" t="s">
        <v>94</v>
      </c>
      <c r="B168" s="49">
        <f>Payroll_Februari_2026!I13</f>
        <v>5000000</v>
      </c>
      <c r="C168" s="47"/>
      <c r="D168" s="48" t="s">
        <v>95</v>
      </c>
      <c r="E168" s="49">
        <f>ABS(Payroll_Februari_2026!N13)</f>
        <v>52887.96</v>
      </c>
    </row>
    <row r="169" spans="1:5" x14ac:dyDescent="0.35">
      <c r="A169" s="50" t="s">
        <v>96</v>
      </c>
      <c r="B169" s="51">
        <f>Payroll_Februari_2026!S13</f>
        <v>220000</v>
      </c>
      <c r="C169" s="47"/>
      <c r="D169" s="50" t="s">
        <v>97</v>
      </c>
      <c r="E169" s="51">
        <f>ABS(Payroll_Februari_2026!O13)</f>
        <v>100000</v>
      </c>
    </row>
    <row r="170" spans="1:5" x14ac:dyDescent="0.35">
      <c r="A170" s="48" t="s">
        <v>98</v>
      </c>
      <c r="B170" s="49">
        <f>Payroll_Februari_2026!T13</f>
        <v>475000</v>
      </c>
      <c r="C170" s="47"/>
      <c r="D170" s="48" t="s">
        <v>79</v>
      </c>
      <c r="E170" s="49">
        <f>ABS(IF(Payroll_Februari_2026!P13="",0,Payroll_Februari_2026!P13))</f>
        <v>0</v>
      </c>
    </row>
    <row r="171" spans="1:5" x14ac:dyDescent="0.35">
      <c r="A171" s="50" t="s">
        <v>99</v>
      </c>
      <c r="B171" s="51">
        <f>IF(Payroll_Februari_2026!V13="",0,Payroll_Februari_2026!V13)</f>
        <v>0</v>
      </c>
      <c r="C171" s="47"/>
      <c r="D171" s="50" t="s">
        <v>100</v>
      </c>
      <c r="E171" s="51">
        <f>ABS(IF(Payroll_Februari_2026!R13="",0,Payroll_Februari_2026!R13))</f>
        <v>0</v>
      </c>
    </row>
    <row r="173" spans="1:5" x14ac:dyDescent="0.35">
      <c r="A173" s="52" t="s">
        <v>101</v>
      </c>
      <c r="B173" s="53">
        <f>SUM(B168:B171)</f>
        <v>5695000</v>
      </c>
      <c r="C173" s="47"/>
      <c r="D173" s="54" t="s">
        <v>102</v>
      </c>
      <c r="E173" s="55">
        <f>SUM(E168:E171)</f>
        <v>152887.96</v>
      </c>
    </row>
    <row r="175" spans="1:5" ht="27.75" customHeight="1" x14ac:dyDescent="0.35">
      <c r="A175" s="59" t="s">
        <v>86</v>
      </c>
      <c r="B175" s="59"/>
      <c r="C175" s="59"/>
      <c r="D175" s="59"/>
      <c r="E175" s="56">
        <f>Payroll_Februari_2026!W13</f>
        <v>5542112.04</v>
      </c>
    </row>
    <row r="176" spans="1:5" x14ac:dyDescent="0.35">
      <c r="A176" s="60" t="str">
        <f>" BPJS Kes (Perusahaan): "&amp;TEXT(Payroll_Februari_2026!J13,"#,##0")&amp;"  |  JHT: "&amp;TEXT(Payroll_Februari_2026!K13,"#,##0")&amp;"  |  JKK: "&amp;TEXT(Payroll_Februari_2026!L13,"#,##0")&amp;"  |  JKM: "&amp;TEXT(Payroll_Februari_2026!M13,"#,##0")</f>
        <v xml:space="preserve"> BPJS Kes (Perusahaan): 211,552  |  JHT: 185,000  |  JKK: 12,000  |  JKM: 15,000</v>
      </c>
      <c r="B176" s="60"/>
      <c r="C176" s="60"/>
      <c r="D176" s="60"/>
      <c r="E176" s="60"/>
    </row>
    <row r="177" spans="1:5" x14ac:dyDescent="0.35">
      <c r="A177" s="57"/>
      <c r="B177" s="57"/>
      <c r="C177" s="57"/>
      <c r="D177" s="57"/>
      <c r="E177" s="57"/>
    </row>
    <row r="180" spans="1:5" ht="15" customHeight="1" x14ac:dyDescent="0.35"/>
    <row r="181" spans="1:5" ht="68.5" customHeight="1" x14ac:dyDescent="0.35">
      <c r="A181" s="61" t="s">
        <v>103</v>
      </c>
      <c r="B181" s="62"/>
      <c r="C181" s="62"/>
      <c r="D181" s="62"/>
      <c r="E181" s="62"/>
    </row>
    <row r="182" spans="1:5" ht="21.75" customHeight="1" x14ac:dyDescent="0.35">
      <c r="A182" s="63" t="s">
        <v>90</v>
      </c>
      <c r="B182" s="63"/>
      <c r="C182" s="63"/>
      <c r="D182" s="63"/>
      <c r="E182" s="63"/>
    </row>
    <row r="183" spans="1:5" x14ac:dyDescent="0.35">
      <c r="A183" s="43" t="s">
        <v>0</v>
      </c>
      <c r="B183" s="44" t="str">
        <f>Payroll_Februari_2026!A14</f>
        <v>3515182611990006</v>
      </c>
      <c r="C183" s="45"/>
      <c r="D183" s="43" t="s">
        <v>2</v>
      </c>
      <c r="E183" s="46" t="str">
        <f>VLOOKUP(Payroll_Februari_2026!A14,Data_Karyawan!A:F,3,FALSE())</f>
        <v xml:space="preserve">Media </v>
      </c>
    </row>
    <row r="184" spans="1:5" x14ac:dyDescent="0.35">
      <c r="A184" s="43" t="s">
        <v>1</v>
      </c>
      <c r="B184" s="46" t="str">
        <f>Payroll_Februari_2026!B14</f>
        <v xml:space="preserve">Rudi Ardi Hamzah </v>
      </c>
      <c r="C184" s="45"/>
      <c r="D184" s="43" t="s">
        <v>5</v>
      </c>
      <c r="E184" s="46" t="str">
        <f>IFERROR(VLOOKUP(Payroll_Februari_2026!A14,Data_Karyawan!A:F,6,FALSE()),"-")</f>
        <v>TK/0</v>
      </c>
    </row>
    <row r="185" spans="1:5" x14ac:dyDescent="0.35">
      <c r="A185" s="43" t="s">
        <v>91</v>
      </c>
      <c r="B185" s="46">
        <f>Payroll_Februari_2026!H14</f>
        <v>19</v>
      </c>
      <c r="C185" s="45"/>
      <c r="D185" s="45"/>
      <c r="E185" s="45"/>
    </row>
    <row r="187" spans="1:5" x14ac:dyDescent="0.35">
      <c r="A187" s="64" t="s">
        <v>92</v>
      </c>
      <c r="B187" s="64"/>
      <c r="C187" s="47"/>
      <c r="D187" s="65" t="s">
        <v>93</v>
      </c>
      <c r="E187" s="65"/>
    </row>
    <row r="188" spans="1:5" x14ac:dyDescent="0.35">
      <c r="A188" s="48" t="s">
        <v>94</v>
      </c>
      <c r="B188" s="49">
        <f>Payroll_Februari_2026!I14</f>
        <v>4000000</v>
      </c>
      <c r="C188" s="47"/>
      <c r="D188" s="48" t="s">
        <v>95</v>
      </c>
      <c r="E188" s="49">
        <f>ABS(Payroll_Februari_2026!N14)</f>
        <v>0</v>
      </c>
    </row>
    <row r="189" spans="1:5" x14ac:dyDescent="0.35">
      <c r="A189" s="50" t="s">
        <v>96</v>
      </c>
      <c r="B189" s="51">
        <f>Payroll_Februari_2026!S14</f>
        <v>220000</v>
      </c>
      <c r="C189" s="47"/>
      <c r="D189" s="50" t="s">
        <v>97</v>
      </c>
      <c r="E189" s="51">
        <f>ABS(Payroll_Februari_2026!O14)</f>
        <v>0</v>
      </c>
    </row>
    <row r="190" spans="1:5" x14ac:dyDescent="0.35">
      <c r="A190" s="48" t="s">
        <v>98</v>
      </c>
      <c r="B190" s="49">
        <f>Payroll_Februari_2026!T14</f>
        <v>475000</v>
      </c>
      <c r="C190" s="47"/>
      <c r="D190" s="48" t="s">
        <v>79</v>
      </c>
      <c r="E190" s="49">
        <f>ABS(IF(Payroll_Februari_2026!P14="",0,Payroll_Februari_2026!P14))</f>
        <v>0</v>
      </c>
    </row>
    <row r="191" spans="1:5" x14ac:dyDescent="0.35">
      <c r="A191" s="50" t="s">
        <v>99</v>
      </c>
      <c r="B191" s="51">
        <f>IF(Payroll_Februari_2026!V14="",0,Payroll_Februari_2026!V14)</f>
        <v>0</v>
      </c>
      <c r="C191" s="47"/>
      <c r="D191" s="50" t="s">
        <v>100</v>
      </c>
      <c r="E191" s="51">
        <f>ABS(IF(Payroll_Februari_2026!R14="",0,Payroll_Februari_2026!R14))</f>
        <v>0</v>
      </c>
    </row>
    <row r="193" spans="1:5" x14ac:dyDescent="0.35">
      <c r="A193" s="52" t="s">
        <v>101</v>
      </c>
      <c r="B193" s="53">
        <f>SUM(B188:B191)</f>
        <v>4695000</v>
      </c>
      <c r="C193" s="47"/>
      <c r="D193" s="54" t="s">
        <v>102</v>
      </c>
      <c r="E193" s="55">
        <f>SUM(E188:E191)</f>
        <v>0</v>
      </c>
    </row>
    <row r="195" spans="1:5" ht="27.75" customHeight="1" x14ac:dyDescent="0.35">
      <c r="A195" s="59" t="s">
        <v>86</v>
      </c>
      <c r="B195" s="59"/>
      <c r="C195" s="59"/>
      <c r="D195" s="59"/>
      <c r="E195" s="56">
        <f>Payroll_Februari_2026!W14</f>
        <v>4695000</v>
      </c>
    </row>
    <row r="196" spans="1:5" x14ac:dyDescent="0.35">
      <c r="A196" s="60" t="str">
        <f>" BPJS Kes (Perusahaan): "&amp;TEXT(Payroll_Februari_2026!J14,"#,##0")&amp;"  |  JHT: "&amp;TEXT(Payroll_Februari_2026!K14,"#,##0")&amp;"  |  JKK: "&amp;TEXT(Payroll_Februari_2026!L14,"#,##0")&amp;"  |  JKM: "&amp;TEXT(Payroll_Februari_2026!M14,"#,##0")</f>
        <v xml:space="preserve"> BPJS Kes (Perusahaan): 0  |  JHT: 0  |  JKK: 0  |  JKM: 0</v>
      </c>
      <c r="B196" s="60"/>
      <c r="C196" s="60"/>
      <c r="D196" s="60"/>
      <c r="E196" s="60"/>
    </row>
    <row r="197" spans="1:5" x14ac:dyDescent="0.35">
      <c r="A197" s="57"/>
      <c r="B197" s="57"/>
      <c r="C197" s="57"/>
      <c r="D197" s="57"/>
      <c r="E197" s="57"/>
    </row>
    <row r="200" spans="1:5" ht="15" customHeight="1" x14ac:dyDescent="0.35"/>
    <row r="201" spans="1:5" ht="67.5" customHeight="1" x14ac:dyDescent="0.35">
      <c r="A201" s="61" t="s">
        <v>103</v>
      </c>
      <c r="B201" s="62"/>
      <c r="C201" s="62"/>
      <c r="D201" s="62"/>
      <c r="E201" s="62"/>
    </row>
    <row r="202" spans="1:5" ht="21.75" customHeight="1" x14ac:dyDescent="0.35">
      <c r="A202" s="63" t="s">
        <v>90</v>
      </c>
      <c r="B202" s="63"/>
      <c r="C202" s="63"/>
      <c r="D202" s="63"/>
      <c r="E202" s="63"/>
    </row>
    <row r="203" spans="1:5" x14ac:dyDescent="0.35">
      <c r="A203" s="43" t="s">
        <v>0</v>
      </c>
      <c r="B203" s="44" t="str">
        <f>Payroll_Februari_2026!A15</f>
        <v>3505101808040002</v>
      </c>
      <c r="C203" s="45"/>
      <c r="D203" s="43" t="s">
        <v>2</v>
      </c>
      <c r="E203" s="46" t="str">
        <f>VLOOKUP(Payroll_Februari_2026!A15,Data_Karyawan!A:F,3,FALSE())</f>
        <v>Media</v>
      </c>
    </row>
    <row r="204" spans="1:5" x14ac:dyDescent="0.35">
      <c r="A204" s="43" t="s">
        <v>1</v>
      </c>
      <c r="B204" s="46" t="str">
        <f>Payroll_Februari_2026!B15</f>
        <v xml:space="preserve">Muhammad Fariza Agustino </v>
      </c>
      <c r="C204" s="45"/>
      <c r="D204" s="43" t="s">
        <v>5</v>
      </c>
      <c r="E204" s="46" t="str">
        <f>IFERROR(VLOOKUP(Payroll_Februari_2026!A15,Data_Karyawan!A:F,6,FALSE()),"-")</f>
        <v>TK/0</v>
      </c>
    </row>
    <row r="205" spans="1:5" x14ac:dyDescent="0.35">
      <c r="A205" s="43" t="s">
        <v>91</v>
      </c>
      <c r="B205" s="46">
        <f>Payroll_Februari_2026!H15</f>
        <v>19</v>
      </c>
      <c r="C205" s="45"/>
      <c r="D205" s="45"/>
      <c r="E205" s="45"/>
    </row>
    <row r="207" spans="1:5" x14ac:dyDescent="0.35">
      <c r="A207" s="64" t="s">
        <v>92</v>
      </c>
      <c r="B207" s="64"/>
      <c r="C207" s="47"/>
      <c r="D207" s="65" t="s">
        <v>93</v>
      </c>
      <c r="E207" s="65"/>
    </row>
    <row r="208" spans="1:5" x14ac:dyDescent="0.35">
      <c r="A208" s="48" t="s">
        <v>94</v>
      </c>
      <c r="B208" s="49">
        <f>Payroll_Februari_2026!I15</f>
        <v>5000000</v>
      </c>
      <c r="C208" s="47"/>
      <c r="D208" s="48" t="s">
        <v>95</v>
      </c>
      <c r="E208" s="49">
        <f>ABS(Payroll_Februari_2026!N15)</f>
        <v>52887.96</v>
      </c>
    </row>
    <row r="209" spans="1:5" x14ac:dyDescent="0.35">
      <c r="A209" s="50" t="s">
        <v>96</v>
      </c>
      <c r="B209" s="51">
        <f>Payroll_Februari_2026!S15</f>
        <v>220000</v>
      </c>
      <c r="C209" s="47"/>
      <c r="D209" s="50" t="s">
        <v>97</v>
      </c>
      <c r="E209" s="51">
        <f>ABS(Payroll_Februari_2026!O15)</f>
        <v>100000</v>
      </c>
    </row>
    <row r="210" spans="1:5" x14ac:dyDescent="0.35">
      <c r="A210" s="48" t="s">
        <v>98</v>
      </c>
      <c r="B210" s="49">
        <f>Payroll_Februari_2026!T15</f>
        <v>475000</v>
      </c>
      <c r="C210" s="47"/>
      <c r="D210" s="48" t="s">
        <v>79</v>
      </c>
      <c r="E210" s="49">
        <f>ABS(IF(Payroll_Februari_2026!P15="",0,Payroll_Februari_2026!P15))</f>
        <v>0</v>
      </c>
    </row>
    <row r="211" spans="1:5" x14ac:dyDescent="0.35">
      <c r="A211" s="50" t="s">
        <v>99</v>
      </c>
      <c r="B211" s="51">
        <f>IF(Payroll_Februari_2026!V15="",0,Payroll_Februari_2026!V15)</f>
        <v>0</v>
      </c>
      <c r="C211" s="47"/>
      <c r="D211" s="50" t="s">
        <v>100</v>
      </c>
      <c r="E211" s="51">
        <f>ABS(IF(Payroll_Februari_2026!R15="",0,Payroll_Februari_2026!R15))</f>
        <v>0</v>
      </c>
    </row>
    <row r="213" spans="1:5" x14ac:dyDescent="0.35">
      <c r="A213" s="52" t="s">
        <v>101</v>
      </c>
      <c r="B213" s="53">
        <f>SUM(B208:B211)</f>
        <v>5695000</v>
      </c>
      <c r="C213" s="47"/>
      <c r="D213" s="54" t="s">
        <v>102</v>
      </c>
      <c r="E213" s="55">
        <f>SUM(E208:E211)</f>
        <v>152887.96</v>
      </c>
    </row>
    <row r="215" spans="1:5" ht="27.75" customHeight="1" x14ac:dyDescent="0.35">
      <c r="A215" s="59" t="s">
        <v>86</v>
      </c>
      <c r="B215" s="59"/>
      <c r="C215" s="59"/>
      <c r="D215" s="59"/>
      <c r="E215" s="56">
        <f>Payroll_Februari_2026!W15</f>
        <v>5542112.04</v>
      </c>
    </row>
    <row r="216" spans="1:5" x14ac:dyDescent="0.35">
      <c r="A216" s="60" t="str">
        <f>" BPJS Kes (Perusahaan): "&amp;TEXT(Payroll_Februari_2026!J15,"#,##0")&amp;"  |  JHT: "&amp;TEXT(Payroll_Februari_2026!K15,"#,##0")&amp;"  |  JKK: "&amp;TEXT(Payroll_Februari_2026!L15,"#,##0")&amp;"  |  JKM: "&amp;TEXT(Payroll_Februari_2026!M15,"#,##0")</f>
        <v xml:space="preserve"> BPJS Kes (Perusahaan): 211,552  |  JHT: 185,000  |  JKK: 12,000  |  JKM: 15,000</v>
      </c>
      <c r="B216" s="60"/>
      <c r="C216" s="60"/>
      <c r="D216" s="60"/>
      <c r="E216" s="60"/>
    </row>
    <row r="217" spans="1:5" x14ac:dyDescent="0.35">
      <c r="A217" s="57"/>
      <c r="B217" s="57"/>
      <c r="C217" s="57"/>
      <c r="D217" s="57"/>
      <c r="E217" s="57"/>
    </row>
    <row r="220" spans="1:5" ht="15" customHeight="1" x14ac:dyDescent="0.35"/>
    <row r="221" spans="1:5" ht="70" customHeight="1" x14ac:dyDescent="0.35">
      <c r="A221" s="61" t="s">
        <v>103</v>
      </c>
      <c r="B221" s="62"/>
      <c r="C221" s="62"/>
      <c r="D221" s="62"/>
      <c r="E221" s="62"/>
    </row>
    <row r="222" spans="1:5" ht="21.75" customHeight="1" x14ac:dyDescent="0.35">
      <c r="A222" s="63" t="s">
        <v>90</v>
      </c>
      <c r="B222" s="63"/>
      <c r="C222" s="63"/>
      <c r="D222" s="63"/>
      <c r="E222" s="63"/>
    </row>
    <row r="223" spans="1:5" x14ac:dyDescent="0.35">
      <c r="A223" s="43" t="s">
        <v>0</v>
      </c>
      <c r="B223" s="44" t="str">
        <f>Payroll_Februari_2026!A16</f>
        <v>0000000000000001</v>
      </c>
      <c r="C223" s="45"/>
      <c r="D223" s="43" t="s">
        <v>2</v>
      </c>
      <c r="E223" s="46" t="str">
        <f>VLOOKUP(Payroll_Februari_2026!A16,Data_Karyawan!A:F,3,FALSE())</f>
        <v>Media</v>
      </c>
    </row>
    <row r="224" spans="1:5" x14ac:dyDescent="0.35">
      <c r="A224" s="43" t="s">
        <v>1</v>
      </c>
      <c r="B224" s="46" t="str">
        <f>Payroll_Februari_2026!B16</f>
        <v>Pendik</v>
      </c>
      <c r="C224" s="45"/>
      <c r="D224" s="43" t="s">
        <v>5</v>
      </c>
      <c r="E224" s="46">
        <f>IFERROR(VLOOKUP(Payroll_Februari_2026!A16,Data_Karyawan!A:F,6,FALSE()),"-")</f>
        <v>0</v>
      </c>
    </row>
    <row r="225" spans="1:5" x14ac:dyDescent="0.35">
      <c r="A225" s="43" t="s">
        <v>91</v>
      </c>
      <c r="B225" s="46">
        <f>Payroll_Februari_2026!H16</f>
        <v>19</v>
      </c>
      <c r="C225" s="45"/>
      <c r="D225" s="45"/>
      <c r="E225" s="45"/>
    </row>
    <row r="227" spans="1:5" x14ac:dyDescent="0.35">
      <c r="A227" s="64" t="s">
        <v>92</v>
      </c>
      <c r="B227" s="64"/>
      <c r="C227" s="47"/>
      <c r="D227" s="65" t="s">
        <v>93</v>
      </c>
      <c r="E227" s="65"/>
    </row>
    <row r="228" spans="1:5" x14ac:dyDescent="0.35">
      <c r="A228" s="48" t="s">
        <v>94</v>
      </c>
      <c r="B228" s="49">
        <f>Payroll_Februari_2026!I16</f>
        <v>2500000</v>
      </c>
      <c r="C228" s="47"/>
      <c r="D228" s="48" t="s">
        <v>95</v>
      </c>
      <c r="E228" s="49">
        <f>ABS(Payroll_Februari_2026!N16)</f>
        <v>0</v>
      </c>
    </row>
    <row r="229" spans="1:5" x14ac:dyDescent="0.35">
      <c r="A229" s="50" t="s">
        <v>96</v>
      </c>
      <c r="B229" s="51">
        <f>Payroll_Februari_2026!S16</f>
        <v>0</v>
      </c>
      <c r="C229" s="47"/>
      <c r="D229" s="50" t="s">
        <v>97</v>
      </c>
      <c r="E229" s="51">
        <f>ABS(Payroll_Februari_2026!O16)</f>
        <v>0</v>
      </c>
    </row>
    <row r="230" spans="1:5" x14ac:dyDescent="0.35">
      <c r="A230" s="48" t="s">
        <v>98</v>
      </c>
      <c r="B230" s="49">
        <f>Payroll_Februari_2026!T16</f>
        <v>0</v>
      </c>
      <c r="C230" s="47"/>
      <c r="D230" s="48" t="s">
        <v>79</v>
      </c>
      <c r="E230" s="49">
        <f>ABS(IF(Payroll_Februari_2026!P16="",0,Payroll_Februari_2026!P16))</f>
        <v>0</v>
      </c>
    </row>
    <row r="231" spans="1:5" x14ac:dyDescent="0.35">
      <c r="A231" s="50" t="s">
        <v>99</v>
      </c>
      <c r="B231" s="51">
        <f>IF(Payroll_Februari_2026!V16="",0,Payroll_Februari_2026!V16)</f>
        <v>0</v>
      </c>
      <c r="C231" s="47"/>
      <c r="D231" s="50" t="s">
        <v>100</v>
      </c>
      <c r="E231" s="51">
        <f>ABS(IF(Payroll_Februari_2026!R16="",0,Payroll_Februari_2026!R16))</f>
        <v>0</v>
      </c>
    </row>
    <row r="233" spans="1:5" x14ac:dyDescent="0.35">
      <c r="A233" s="52" t="s">
        <v>101</v>
      </c>
      <c r="B233" s="53">
        <f>SUM(B228:B231)</f>
        <v>2500000</v>
      </c>
      <c r="C233" s="47"/>
      <c r="D233" s="54" t="s">
        <v>102</v>
      </c>
      <c r="E233" s="55">
        <f>SUM(E228:E231)</f>
        <v>0</v>
      </c>
    </row>
    <row r="235" spans="1:5" ht="27.75" customHeight="1" x14ac:dyDescent="0.35">
      <c r="A235" s="59" t="s">
        <v>86</v>
      </c>
      <c r="B235" s="59"/>
      <c r="C235" s="59"/>
      <c r="D235" s="59"/>
      <c r="E235" s="56">
        <f>Payroll_Februari_2026!W16</f>
        <v>2500000</v>
      </c>
    </row>
    <row r="236" spans="1:5" x14ac:dyDescent="0.35">
      <c r="A236" s="60" t="str">
        <f>" BPJS Kes (Perusahaan): "&amp;TEXT(Payroll_Februari_2026!J16,"#,##0")&amp;"  |  JHT: "&amp;TEXT(Payroll_Februari_2026!K16,"#,##0")&amp;"  |  JKK: "&amp;TEXT(Payroll_Februari_2026!L16,"#,##0")&amp;"  |  JKM: "&amp;TEXT(Payroll_Februari_2026!M16,"#,##0")</f>
        <v xml:space="preserve"> BPJS Kes (Perusahaan): 0  |  JHT: 0  |  JKK: 0  |  JKM: 0</v>
      </c>
      <c r="B236" s="60"/>
      <c r="C236" s="60"/>
      <c r="D236" s="60"/>
      <c r="E236" s="60"/>
    </row>
    <row r="237" spans="1:5" x14ac:dyDescent="0.35">
      <c r="A237" s="57"/>
      <c r="B237" s="57"/>
      <c r="C237" s="57"/>
      <c r="D237" s="57"/>
      <c r="E237" s="57"/>
    </row>
    <row r="240" spans="1:5" ht="15" customHeight="1" x14ac:dyDescent="0.35"/>
    <row r="241" spans="1:5" ht="67" customHeight="1" x14ac:dyDescent="0.35">
      <c r="A241" s="61" t="s">
        <v>103</v>
      </c>
      <c r="B241" s="62"/>
      <c r="C241" s="62"/>
      <c r="D241" s="62"/>
      <c r="E241" s="62"/>
    </row>
    <row r="242" spans="1:5" ht="21.75" customHeight="1" x14ac:dyDescent="0.35">
      <c r="A242" s="63" t="s">
        <v>90</v>
      </c>
      <c r="B242" s="63"/>
      <c r="C242" s="63"/>
      <c r="D242" s="63"/>
      <c r="E242" s="63"/>
    </row>
    <row r="243" spans="1:5" x14ac:dyDescent="0.35">
      <c r="A243" s="43" t="s">
        <v>0</v>
      </c>
      <c r="B243" s="44" t="str">
        <f>Payroll_Februari_2026!A17</f>
        <v>3523037103030001</v>
      </c>
      <c r="C243" s="45"/>
      <c r="D243" s="43" t="s">
        <v>2</v>
      </c>
      <c r="E243" s="46" t="str">
        <f>VLOOKUP(Payroll_Februari_2026!A17,Data_Karyawan!A:F,3,FALSE())</f>
        <v>Media</v>
      </c>
    </row>
    <row r="244" spans="1:5" x14ac:dyDescent="0.35">
      <c r="A244" s="43" t="s">
        <v>1</v>
      </c>
      <c r="B244" s="46" t="str">
        <f>Payroll_Februari_2026!B17</f>
        <v>Meysa Mahfudhoh</v>
      </c>
      <c r="C244" s="45"/>
      <c r="D244" s="43" t="s">
        <v>5</v>
      </c>
      <c r="E244" s="46">
        <f>IFERROR(VLOOKUP(Payroll_Februari_2026!A17,Data_Karyawan!A:F,6,FALSE()),"-")</f>
        <v>0</v>
      </c>
    </row>
    <row r="245" spans="1:5" x14ac:dyDescent="0.35">
      <c r="A245" s="43" t="s">
        <v>91</v>
      </c>
      <c r="B245" s="46">
        <f>Payroll_Februari_2026!H17</f>
        <v>17</v>
      </c>
      <c r="C245" s="45"/>
      <c r="D245" s="45"/>
      <c r="E245" s="45"/>
    </row>
    <row r="247" spans="1:5" x14ac:dyDescent="0.35">
      <c r="A247" s="64" t="s">
        <v>92</v>
      </c>
      <c r="B247" s="64"/>
      <c r="C247" s="47"/>
      <c r="D247" s="65" t="s">
        <v>93</v>
      </c>
      <c r="E247" s="65"/>
    </row>
    <row r="248" spans="1:5" x14ac:dyDescent="0.35">
      <c r="A248" s="48" t="s">
        <v>94</v>
      </c>
      <c r="B248" s="49">
        <f>Payroll_Februari_2026!I17</f>
        <v>3131578.9473684211</v>
      </c>
      <c r="C248" s="47"/>
      <c r="D248" s="48" t="s">
        <v>95</v>
      </c>
      <c r="E248" s="49">
        <f>ABS(Payroll_Februari_2026!N17)</f>
        <v>0</v>
      </c>
    </row>
    <row r="249" spans="1:5" x14ac:dyDescent="0.35">
      <c r="A249" s="50" t="s">
        <v>96</v>
      </c>
      <c r="B249" s="51">
        <f>Payroll_Februari_2026!S17</f>
        <v>220000</v>
      </c>
      <c r="C249" s="47"/>
      <c r="D249" s="50" t="s">
        <v>97</v>
      </c>
      <c r="E249" s="51">
        <f>ABS(Payroll_Februari_2026!O17)</f>
        <v>0</v>
      </c>
    </row>
    <row r="250" spans="1:5" x14ac:dyDescent="0.35">
      <c r="A250" s="48" t="s">
        <v>98</v>
      </c>
      <c r="B250" s="49">
        <f>Payroll_Februari_2026!T17</f>
        <v>425000</v>
      </c>
      <c r="C250" s="47"/>
      <c r="D250" s="48" t="s">
        <v>79</v>
      </c>
      <c r="E250" s="49">
        <f>ABS(IF(Payroll_Februari_2026!P17="",0,Payroll_Februari_2026!P17))</f>
        <v>0</v>
      </c>
    </row>
    <row r="251" spans="1:5" x14ac:dyDescent="0.35">
      <c r="A251" s="50" t="s">
        <v>99</v>
      </c>
      <c r="B251" s="51">
        <f>IF(Payroll_Februari_2026!V17="",0,Payroll_Februari_2026!V17)</f>
        <v>0</v>
      </c>
      <c r="C251" s="47"/>
      <c r="D251" s="50" t="s">
        <v>100</v>
      </c>
      <c r="E251" s="51">
        <f>ABS(IF(Payroll_Februari_2026!R17="",0,Payroll_Februari_2026!R17))</f>
        <v>0</v>
      </c>
    </row>
    <row r="253" spans="1:5" x14ac:dyDescent="0.35">
      <c r="A253" s="52" t="s">
        <v>101</v>
      </c>
      <c r="B253" s="53">
        <f>SUM(B248:B251)</f>
        <v>3776578.9473684211</v>
      </c>
      <c r="C253" s="47"/>
      <c r="D253" s="54" t="s">
        <v>102</v>
      </c>
      <c r="E253" s="55">
        <f>SUM(E248:E251)</f>
        <v>0</v>
      </c>
    </row>
    <row r="255" spans="1:5" ht="27.75" customHeight="1" x14ac:dyDescent="0.35">
      <c r="A255" s="59" t="s">
        <v>86</v>
      </c>
      <c r="B255" s="59"/>
      <c r="C255" s="59"/>
      <c r="D255" s="59"/>
      <c r="E255" s="56">
        <f>Payroll_Februari_2026!W17</f>
        <v>3776578.9473684211</v>
      </c>
    </row>
    <row r="256" spans="1:5" x14ac:dyDescent="0.35">
      <c r="A256" s="60" t="str">
        <f>" BPJS Kes (Perusahaan): "&amp;TEXT(Payroll_Februari_2026!J17,"#,##0")&amp;"  |  JHT: "&amp;TEXT(Payroll_Februari_2026!K17,"#,##0")&amp;"  |  JKK: "&amp;TEXT(Payroll_Februari_2026!L17,"#,##0")&amp;"  |  JKM: "&amp;TEXT(Payroll_Februari_2026!M17,"#,##0")</f>
        <v xml:space="preserve"> BPJS Kes (Perusahaan): 0  |  JHT: 0  |  JKK: 0  |  JKM: 0</v>
      </c>
      <c r="B256" s="60"/>
      <c r="C256" s="60"/>
      <c r="D256" s="60"/>
      <c r="E256" s="60"/>
    </row>
    <row r="257" spans="1:5" x14ac:dyDescent="0.35">
      <c r="A257" s="57"/>
      <c r="B257" s="57"/>
      <c r="C257" s="57"/>
      <c r="D257" s="57"/>
      <c r="E257" s="57"/>
    </row>
    <row r="260" spans="1:5" ht="15" customHeight="1" x14ac:dyDescent="0.35"/>
    <row r="261" spans="1:5" ht="68" customHeight="1" x14ac:dyDescent="0.35">
      <c r="A261" s="61" t="s">
        <v>103</v>
      </c>
      <c r="B261" s="62"/>
      <c r="C261" s="62"/>
      <c r="D261" s="62"/>
      <c r="E261" s="62"/>
    </row>
    <row r="262" spans="1:5" ht="21.75" customHeight="1" x14ac:dyDescent="0.35">
      <c r="A262" s="63" t="s">
        <v>90</v>
      </c>
      <c r="B262" s="63"/>
      <c r="C262" s="63"/>
      <c r="D262" s="63"/>
      <c r="E262" s="63"/>
    </row>
    <row r="263" spans="1:5" x14ac:dyDescent="0.35">
      <c r="A263" s="43" t="s">
        <v>0</v>
      </c>
      <c r="B263" s="44" t="str">
        <f>Payroll_Februari_2026!A18</f>
        <v>3515153107010001</v>
      </c>
      <c r="C263" s="45"/>
      <c r="D263" s="43" t="s">
        <v>2</v>
      </c>
      <c r="E263" s="46" t="str">
        <f>VLOOKUP(Payroll_Februari_2026!A18,Data_Karyawan!A:F,3,FALSE())</f>
        <v>Media</v>
      </c>
    </row>
    <row r="264" spans="1:5" x14ac:dyDescent="0.35">
      <c r="A264" s="43" t="s">
        <v>1</v>
      </c>
      <c r="B264" s="46" t="str">
        <f>Payroll_Februari_2026!B18</f>
        <v>M. Rizqi R.</v>
      </c>
      <c r="C264" s="45"/>
      <c r="D264" s="43" t="s">
        <v>5</v>
      </c>
      <c r="E264" s="46" t="str">
        <f>IFERROR(VLOOKUP(Payroll_Februari_2026!A18,Data_Karyawan!A:F,6,FALSE()),"-")</f>
        <v>TK/0</v>
      </c>
    </row>
    <row r="265" spans="1:5" x14ac:dyDescent="0.35">
      <c r="A265" s="43" t="s">
        <v>91</v>
      </c>
      <c r="B265" s="46">
        <f>Payroll_Februari_2026!H18</f>
        <v>19</v>
      </c>
      <c r="C265" s="45"/>
      <c r="D265" s="45"/>
      <c r="E265" s="45"/>
    </row>
    <row r="267" spans="1:5" x14ac:dyDescent="0.35">
      <c r="A267" s="64" t="s">
        <v>92</v>
      </c>
      <c r="B267" s="64"/>
      <c r="C267" s="47"/>
      <c r="D267" s="65" t="s">
        <v>93</v>
      </c>
      <c r="E267" s="65"/>
    </row>
    <row r="268" spans="1:5" x14ac:dyDescent="0.35">
      <c r="A268" s="48" t="s">
        <v>94</v>
      </c>
      <c r="B268" s="49">
        <f>Payroll_Februari_2026!I18</f>
        <v>2500000</v>
      </c>
      <c r="C268" s="47"/>
      <c r="D268" s="48" t="s">
        <v>95</v>
      </c>
      <c r="E268" s="49">
        <f>ABS(Payroll_Februari_2026!N18)</f>
        <v>0</v>
      </c>
    </row>
    <row r="269" spans="1:5" x14ac:dyDescent="0.35">
      <c r="A269" s="50" t="s">
        <v>96</v>
      </c>
      <c r="B269" s="51">
        <f>Payroll_Februari_2026!S18</f>
        <v>0</v>
      </c>
      <c r="C269" s="47"/>
      <c r="D269" s="50" t="s">
        <v>97</v>
      </c>
      <c r="E269" s="51">
        <f>ABS(Payroll_Februari_2026!O18)</f>
        <v>0</v>
      </c>
    </row>
    <row r="270" spans="1:5" x14ac:dyDescent="0.35">
      <c r="A270" s="48" t="s">
        <v>98</v>
      </c>
      <c r="B270" s="49">
        <f>Payroll_Februari_2026!T18</f>
        <v>0</v>
      </c>
      <c r="C270" s="47"/>
      <c r="D270" s="48" t="s">
        <v>79</v>
      </c>
      <c r="E270" s="49">
        <f>ABS(IF(Payroll_Februari_2026!P18="",0,Payroll_Februari_2026!P18))</f>
        <v>0</v>
      </c>
    </row>
    <row r="271" spans="1:5" x14ac:dyDescent="0.35">
      <c r="A271" s="50" t="s">
        <v>99</v>
      </c>
      <c r="B271" s="51">
        <f>IF(Payroll_Februari_2026!V18="",0,Payroll_Februari_2026!V18)</f>
        <v>0</v>
      </c>
      <c r="C271" s="47"/>
      <c r="D271" s="50" t="s">
        <v>100</v>
      </c>
      <c r="E271" s="51">
        <f>ABS(IF(Payroll_Februari_2026!R18="",0,Payroll_Februari_2026!R18))</f>
        <v>0</v>
      </c>
    </row>
    <row r="273" spans="1:5" x14ac:dyDescent="0.35">
      <c r="A273" s="52" t="s">
        <v>101</v>
      </c>
      <c r="B273" s="53">
        <f>SUM(B268:B271)</f>
        <v>2500000</v>
      </c>
      <c r="C273" s="47"/>
      <c r="D273" s="54" t="s">
        <v>102</v>
      </c>
      <c r="E273" s="55">
        <f>SUM(E268:E271)</f>
        <v>0</v>
      </c>
    </row>
    <row r="275" spans="1:5" ht="27.75" customHeight="1" x14ac:dyDescent="0.35">
      <c r="A275" s="59" t="s">
        <v>86</v>
      </c>
      <c r="B275" s="59"/>
      <c r="C275" s="59"/>
      <c r="D275" s="59"/>
      <c r="E275" s="56">
        <f>Payroll_Februari_2026!W18</f>
        <v>2500000</v>
      </c>
    </row>
    <row r="276" spans="1:5" x14ac:dyDescent="0.35">
      <c r="A276" s="60" t="str">
        <f>" BPJS Kes (Perusahaan): "&amp;TEXT(Payroll_Februari_2026!J18,"#,##0")&amp;"  |  JHT: "&amp;TEXT(Payroll_Februari_2026!K18,"#,##0")&amp;"  |  JKK: "&amp;TEXT(Payroll_Februari_2026!L18,"#,##0")&amp;"  |  JKM: "&amp;TEXT(Payroll_Februari_2026!M18,"#,##0")</f>
        <v xml:space="preserve"> BPJS Kes (Perusahaan): 0  |  JHT: 0  |  JKK: 0  |  JKM: 0</v>
      </c>
      <c r="B276" s="60"/>
      <c r="C276" s="60"/>
      <c r="D276" s="60"/>
      <c r="E276" s="60"/>
    </row>
    <row r="277" spans="1:5" x14ac:dyDescent="0.35">
      <c r="A277" s="57"/>
      <c r="B277" s="57"/>
      <c r="C277" s="57"/>
      <c r="D277" s="57"/>
      <c r="E277" s="57"/>
    </row>
    <row r="280" spans="1:5" ht="15" customHeight="1" x14ac:dyDescent="0.35"/>
    <row r="281" spans="1:5" ht="68.5" customHeight="1" x14ac:dyDescent="0.35">
      <c r="A281" s="61" t="s">
        <v>103</v>
      </c>
      <c r="B281" s="62"/>
      <c r="C281" s="62"/>
      <c r="D281" s="62"/>
      <c r="E281" s="62"/>
    </row>
    <row r="282" spans="1:5" ht="21.75" customHeight="1" x14ac:dyDescent="0.35">
      <c r="A282" s="63" t="s">
        <v>90</v>
      </c>
      <c r="B282" s="63"/>
      <c r="C282" s="63"/>
      <c r="D282" s="63"/>
      <c r="E282" s="63"/>
    </row>
    <row r="283" spans="1:5" x14ac:dyDescent="0.35">
      <c r="A283" s="43" t="s">
        <v>0</v>
      </c>
      <c r="B283" s="44" t="str">
        <f>Payroll_Februari_2026!A19</f>
        <v>6201026602010003</v>
      </c>
      <c r="C283" s="45"/>
      <c r="D283" s="43" t="s">
        <v>2</v>
      </c>
      <c r="E283" s="46" t="str">
        <f>VLOOKUP(Payroll_Februari_2026!A19,Data_Karyawan!A:F,3,FALSE())</f>
        <v xml:space="preserve">Marketing - Visual Design </v>
      </c>
    </row>
    <row r="284" spans="1:5" x14ac:dyDescent="0.35">
      <c r="A284" s="43" t="s">
        <v>1</v>
      </c>
      <c r="B284" s="46" t="str">
        <f>Payroll_Februari_2026!B19</f>
        <v xml:space="preserve">Florencia Irena </v>
      </c>
      <c r="C284" s="45"/>
      <c r="D284" s="43" t="s">
        <v>5</v>
      </c>
      <c r="E284" s="46" t="str">
        <f>IFERROR(VLOOKUP(Payroll_Februari_2026!A19,Data_Karyawan!A:F,6,FALSE()),"-")</f>
        <v>TK/0</v>
      </c>
    </row>
    <row r="285" spans="1:5" x14ac:dyDescent="0.35">
      <c r="A285" s="43" t="s">
        <v>91</v>
      </c>
      <c r="B285" s="46">
        <f>Payroll_Februari_2026!H19</f>
        <v>7</v>
      </c>
      <c r="C285" s="45"/>
      <c r="D285" s="45"/>
      <c r="E285" s="45"/>
    </row>
    <row r="287" spans="1:5" x14ac:dyDescent="0.35">
      <c r="A287" s="64" t="s">
        <v>92</v>
      </c>
      <c r="B287" s="64"/>
      <c r="C287" s="47"/>
      <c r="D287" s="65" t="s">
        <v>93</v>
      </c>
      <c r="E287" s="65"/>
    </row>
    <row r="288" spans="1:5" x14ac:dyDescent="0.35">
      <c r="A288" s="48" t="s">
        <v>94</v>
      </c>
      <c r="B288" s="49">
        <f>Payroll_Februari_2026!I19</f>
        <v>1842105.2631578946</v>
      </c>
      <c r="C288" s="47"/>
      <c r="D288" s="48" t="s">
        <v>95</v>
      </c>
      <c r="E288" s="49">
        <f>ABS(Payroll_Februari_2026!N19)</f>
        <v>52887.96</v>
      </c>
    </row>
    <row r="289" spans="1:5" x14ac:dyDescent="0.35">
      <c r="A289" s="50" t="s">
        <v>96</v>
      </c>
      <c r="B289" s="51">
        <f>Payroll_Februari_2026!S19</f>
        <v>220000</v>
      </c>
      <c r="C289" s="47"/>
      <c r="D289" s="50" t="s">
        <v>97</v>
      </c>
      <c r="E289" s="51">
        <f>ABS(Payroll_Februari_2026!O19)</f>
        <v>100000</v>
      </c>
    </row>
    <row r="290" spans="1:5" x14ac:dyDescent="0.35">
      <c r="A290" s="48" t="s">
        <v>98</v>
      </c>
      <c r="B290" s="49">
        <f>Payroll_Februari_2026!T19</f>
        <v>175000</v>
      </c>
      <c r="C290" s="47"/>
      <c r="D290" s="48" t="s">
        <v>79</v>
      </c>
      <c r="E290" s="49">
        <f>ABS(IF(Payroll_Februari_2026!P19="",0,Payroll_Februari_2026!P19))</f>
        <v>0</v>
      </c>
    </row>
    <row r="291" spans="1:5" x14ac:dyDescent="0.35">
      <c r="A291" s="50" t="s">
        <v>99</v>
      </c>
      <c r="B291" s="51">
        <f>IF(Payroll_Februari_2026!V19="",0,Payroll_Februari_2026!V19)</f>
        <v>0</v>
      </c>
      <c r="C291" s="47"/>
      <c r="D291" s="50" t="s">
        <v>100</v>
      </c>
      <c r="E291" s="51">
        <f>ABS(IF(Payroll_Februari_2026!R19="",0,Payroll_Februari_2026!R19))</f>
        <v>0</v>
      </c>
    </row>
    <row r="293" spans="1:5" x14ac:dyDescent="0.35">
      <c r="A293" s="52" t="s">
        <v>101</v>
      </c>
      <c r="B293" s="53">
        <f>SUM(B288:B291)</f>
        <v>2237105.2631578948</v>
      </c>
      <c r="C293" s="47"/>
      <c r="D293" s="54" t="s">
        <v>102</v>
      </c>
      <c r="E293" s="55">
        <f>SUM(E288:E291)</f>
        <v>152887.96</v>
      </c>
    </row>
    <row r="295" spans="1:5" ht="27.75" customHeight="1" x14ac:dyDescent="0.35">
      <c r="A295" s="59" t="s">
        <v>86</v>
      </c>
      <c r="B295" s="59"/>
      <c r="C295" s="59"/>
      <c r="D295" s="59"/>
      <c r="E295" s="56">
        <f>Payroll_Februari_2026!W19</f>
        <v>2084217.3031578946</v>
      </c>
    </row>
    <row r="296" spans="1:5" x14ac:dyDescent="0.35">
      <c r="A296" s="60" t="str">
        <f>" BPJS Kes (Perusahaan): "&amp;TEXT(Payroll_Februari_2026!J19,"#,##0")&amp;"  |  JHT: "&amp;TEXT(Payroll_Februari_2026!K19,"#,##0")&amp;"  |  JKK: "&amp;TEXT(Payroll_Februari_2026!L19,"#,##0")&amp;"  |  JKM: "&amp;TEXT(Payroll_Februari_2026!M19,"#,##0")</f>
        <v xml:space="preserve"> BPJS Kes (Perusahaan): 211,552  |  JHT: 185,000  |  JKK: 12,000  |  JKM: 15,000</v>
      </c>
      <c r="B296" s="60"/>
      <c r="C296" s="60"/>
      <c r="D296" s="60"/>
      <c r="E296" s="60"/>
    </row>
    <row r="297" spans="1:5" x14ac:dyDescent="0.35">
      <c r="A297" s="57"/>
      <c r="B297" s="57"/>
      <c r="C297" s="57"/>
      <c r="D297" s="57"/>
      <c r="E297" s="57"/>
    </row>
    <row r="300" spans="1:5" ht="15" customHeight="1" x14ac:dyDescent="0.35"/>
    <row r="301" spans="1:5" ht="68" customHeight="1" x14ac:dyDescent="0.35">
      <c r="A301" s="61" t="s">
        <v>103</v>
      </c>
      <c r="B301" s="62"/>
      <c r="C301" s="62"/>
      <c r="D301" s="62"/>
      <c r="E301" s="62"/>
    </row>
    <row r="302" spans="1:5" ht="21.75" customHeight="1" x14ac:dyDescent="0.35">
      <c r="A302" s="63" t="s">
        <v>90</v>
      </c>
      <c r="B302" s="63"/>
      <c r="C302" s="63"/>
      <c r="D302" s="63"/>
      <c r="E302" s="63"/>
    </row>
    <row r="303" spans="1:5" x14ac:dyDescent="0.35">
      <c r="A303" s="43" t="s">
        <v>0</v>
      </c>
      <c r="B303" s="44" t="str">
        <f>Payroll_Februari_2026!A20</f>
        <v>3509050202010002</v>
      </c>
      <c r="C303" s="45"/>
      <c r="D303" s="43" t="s">
        <v>2</v>
      </c>
      <c r="E303" s="46" t="str">
        <f>VLOOKUP(Payroll_Februari_2026!A20,Data_Karyawan!A:F,3,FALSE())</f>
        <v xml:space="preserve">Marketing - Visual Design </v>
      </c>
    </row>
    <row r="304" spans="1:5" x14ac:dyDescent="0.35">
      <c r="A304" s="43" t="s">
        <v>1</v>
      </c>
      <c r="B304" s="46" t="str">
        <f>Payroll_Februari_2026!B20</f>
        <v>Fahrul Muttaqin</v>
      </c>
      <c r="C304" s="45"/>
      <c r="D304" s="43" t="s">
        <v>5</v>
      </c>
      <c r="E304" s="46" t="str">
        <f>IFERROR(VLOOKUP(Payroll_Februari_2026!A20,Data_Karyawan!A:F,6,FALSE()),"-")</f>
        <v>TK/0</v>
      </c>
    </row>
    <row r="305" spans="1:5" x14ac:dyDescent="0.35">
      <c r="A305" s="43" t="s">
        <v>91</v>
      </c>
      <c r="B305" s="46">
        <f>Payroll_Februari_2026!H20</f>
        <v>19</v>
      </c>
      <c r="C305" s="45"/>
      <c r="D305" s="45"/>
      <c r="E305" s="45"/>
    </row>
    <row r="307" spans="1:5" x14ac:dyDescent="0.35">
      <c r="A307" s="64" t="s">
        <v>92</v>
      </c>
      <c r="B307" s="64"/>
      <c r="C307" s="47"/>
      <c r="D307" s="65" t="s">
        <v>93</v>
      </c>
      <c r="E307" s="65"/>
    </row>
    <row r="308" spans="1:5" x14ac:dyDescent="0.35">
      <c r="A308" s="48" t="s">
        <v>94</v>
      </c>
      <c r="B308" s="49">
        <f>Payroll_Februari_2026!I20</f>
        <v>4500000</v>
      </c>
      <c r="C308" s="47"/>
      <c r="D308" s="48" t="s">
        <v>95</v>
      </c>
      <c r="E308" s="49">
        <f>ABS(Payroll_Februari_2026!N20)</f>
        <v>52887.96</v>
      </c>
    </row>
    <row r="309" spans="1:5" x14ac:dyDescent="0.35">
      <c r="A309" s="50" t="s">
        <v>96</v>
      </c>
      <c r="B309" s="51">
        <f>Payroll_Februari_2026!S20</f>
        <v>220000</v>
      </c>
      <c r="C309" s="47"/>
      <c r="D309" s="50" t="s">
        <v>97</v>
      </c>
      <c r="E309" s="51">
        <f>ABS(Payroll_Februari_2026!O20)</f>
        <v>90000</v>
      </c>
    </row>
    <row r="310" spans="1:5" x14ac:dyDescent="0.35">
      <c r="A310" s="48" t="s">
        <v>98</v>
      </c>
      <c r="B310" s="49">
        <f>Payroll_Februari_2026!T20</f>
        <v>475000</v>
      </c>
      <c r="C310" s="47"/>
      <c r="D310" s="48" t="s">
        <v>79</v>
      </c>
      <c r="E310" s="49">
        <f>ABS(IF(Payroll_Februari_2026!P20="",0,Payroll_Februari_2026!P20))</f>
        <v>0</v>
      </c>
    </row>
    <row r="311" spans="1:5" x14ac:dyDescent="0.35">
      <c r="A311" s="50" t="s">
        <v>99</v>
      </c>
      <c r="B311" s="51">
        <f>IF(Payroll_Februari_2026!V20="",0,Payroll_Februari_2026!V20)</f>
        <v>0</v>
      </c>
      <c r="C311" s="47"/>
      <c r="D311" s="50" t="s">
        <v>100</v>
      </c>
      <c r="E311" s="51">
        <f>ABS(IF(Payroll_Februari_2026!R20="",0,Payroll_Februari_2026!R20))</f>
        <v>0</v>
      </c>
    </row>
    <row r="313" spans="1:5" x14ac:dyDescent="0.35">
      <c r="A313" s="52" t="s">
        <v>101</v>
      </c>
      <c r="B313" s="53">
        <f>SUM(B308:B311)</f>
        <v>5195000</v>
      </c>
      <c r="C313" s="47"/>
      <c r="D313" s="54" t="s">
        <v>102</v>
      </c>
      <c r="E313" s="55">
        <f>SUM(E308:E311)</f>
        <v>142887.96</v>
      </c>
    </row>
    <row r="315" spans="1:5" ht="27.75" customHeight="1" x14ac:dyDescent="0.35">
      <c r="A315" s="59" t="s">
        <v>86</v>
      </c>
      <c r="B315" s="59"/>
      <c r="C315" s="59"/>
      <c r="D315" s="59"/>
      <c r="E315" s="56">
        <f>Payroll_Februari_2026!W20</f>
        <v>5052112.04</v>
      </c>
    </row>
    <row r="316" spans="1:5" x14ac:dyDescent="0.35">
      <c r="A316" s="60" t="str">
        <f>" BPJS Kes (Perusahaan): "&amp;TEXT(Payroll_Februari_2026!J20,"#,##0")&amp;"  |  JHT: "&amp;TEXT(Payroll_Februari_2026!K20,"#,##0")&amp;"  |  JKK: "&amp;TEXT(Payroll_Februari_2026!L20,"#,##0")&amp;"  |  JKM: "&amp;TEXT(Payroll_Februari_2026!M20,"#,##0")</f>
        <v xml:space="preserve"> BPJS Kes (Perusahaan): 211,552  |  JHT: 166,500  |  JKK: 10,800  |  JKM: 13,500</v>
      </c>
      <c r="B316" s="60"/>
      <c r="C316" s="60"/>
      <c r="D316" s="60"/>
      <c r="E316" s="60"/>
    </row>
    <row r="317" spans="1:5" x14ac:dyDescent="0.35">
      <c r="A317" s="57"/>
      <c r="B317" s="57"/>
      <c r="C317" s="57"/>
      <c r="D317" s="57"/>
      <c r="E317" s="57"/>
    </row>
    <row r="320" spans="1:5" ht="15" customHeight="1" x14ac:dyDescent="0.35"/>
    <row r="321" spans="1:5" ht="66" customHeight="1" x14ac:dyDescent="0.35">
      <c r="A321" s="61" t="s">
        <v>103</v>
      </c>
      <c r="B321" s="62"/>
      <c r="C321" s="62"/>
      <c r="D321" s="62"/>
      <c r="E321" s="62"/>
    </row>
    <row r="322" spans="1:5" ht="21.75" customHeight="1" x14ac:dyDescent="0.35">
      <c r="A322" s="63" t="s">
        <v>90</v>
      </c>
      <c r="B322" s="63"/>
      <c r="C322" s="63"/>
      <c r="D322" s="63"/>
      <c r="E322" s="63"/>
    </row>
    <row r="323" spans="1:5" x14ac:dyDescent="0.35">
      <c r="A323" s="43" t="s">
        <v>0</v>
      </c>
      <c r="B323" s="44" t="str">
        <f>Payroll_Februari_2026!A21</f>
        <v>3578030810010002</v>
      </c>
      <c r="C323" s="45"/>
      <c r="D323" s="43" t="s">
        <v>2</v>
      </c>
      <c r="E323" s="46" t="str">
        <f>VLOOKUP(Payroll_Februari_2026!A21,Data_Karyawan!A:F,3,FALSE())</f>
        <v xml:space="preserve">Marketing - Visual Design </v>
      </c>
    </row>
    <row r="324" spans="1:5" x14ac:dyDescent="0.35">
      <c r="A324" s="43" t="s">
        <v>1</v>
      </c>
      <c r="B324" s="46" t="str">
        <f>Payroll_Februari_2026!B21</f>
        <v>Abid Ariq Athallah</v>
      </c>
      <c r="C324" s="45"/>
      <c r="D324" s="43" t="s">
        <v>5</v>
      </c>
      <c r="E324" s="46" t="str">
        <f>IFERROR(VLOOKUP(Payroll_Februari_2026!A21,Data_Karyawan!A:F,6,FALSE()),"-")</f>
        <v>TK/0</v>
      </c>
    </row>
    <row r="325" spans="1:5" x14ac:dyDescent="0.35">
      <c r="A325" s="43" t="s">
        <v>91</v>
      </c>
      <c r="B325" s="46">
        <f>Payroll_Februari_2026!H21</f>
        <v>19</v>
      </c>
      <c r="C325" s="45"/>
      <c r="D325" s="45"/>
      <c r="E325" s="45"/>
    </row>
    <row r="327" spans="1:5" x14ac:dyDescent="0.35">
      <c r="A327" s="64" t="s">
        <v>92</v>
      </c>
      <c r="B327" s="64"/>
      <c r="C327" s="47"/>
      <c r="D327" s="65" t="s">
        <v>93</v>
      </c>
      <c r="E327" s="65"/>
    </row>
    <row r="328" spans="1:5" x14ac:dyDescent="0.35">
      <c r="A328" s="48" t="s">
        <v>94</v>
      </c>
      <c r="B328" s="49">
        <f>Payroll_Februari_2026!I21</f>
        <v>4000000</v>
      </c>
      <c r="C328" s="47"/>
      <c r="D328" s="48" t="s">
        <v>95</v>
      </c>
      <c r="E328" s="49">
        <f>ABS(Payroll_Februari_2026!N21)</f>
        <v>52887.96</v>
      </c>
    </row>
    <row r="329" spans="1:5" x14ac:dyDescent="0.35">
      <c r="A329" s="50" t="s">
        <v>96</v>
      </c>
      <c r="B329" s="51">
        <f>Payroll_Februari_2026!S21</f>
        <v>220000</v>
      </c>
      <c r="C329" s="47"/>
      <c r="D329" s="50" t="s">
        <v>97</v>
      </c>
      <c r="E329" s="51">
        <f>ABS(Payroll_Februari_2026!O21)</f>
        <v>80000</v>
      </c>
    </row>
    <row r="330" spans="1:5" x14ac:dyDescent="0.35">
      <c r="A330" s="48" t="s">
        <v>98</v>
      </c>
      <c r="B330" s="49">
        <f>Payroll_Februari_2026!T21</f>
        <v>475000</v>
      </c>
      <c r="C330" s="47"/>
      <c r="D330" s="48" t="s">
        <v>79</v>
      </c>
      <c r="E330" s="49">
        <f>ABS(IF(Payroll_Februari_2026!P21="",0,Payroll_Februari_2026!P21))</f>
        <v>0</v>
      </c>
    </row>
    <row r="331" spans="1:5" x14ac:dyDescent="0.35">
      <c r="A331" s="50" t="s">
        <v>99</v>
      </c>
      <c r="B331" s="51">
        <f>IF(Payroll_Februari_2026!V21="",0,Payroll_Februari_2026!V21)</f>
        <v>0</v>
      </c>
      <c r="C331" s="47"/>
      <c r="D331" s="50" t="s">
        <v>100</v>
      </c>
      <c r="E331" s="51">
        <f>ABS(IF(Payroll_Februari_2026!R21="",0,Payroll_Februari_2026!R21))</f>
        <v>0</v>
      </c>
    </row>
    <row r="333" spans="1:5" x14ac:dyDescent="0.35">
      <c r="A333" s="52" t="s">
        <v>101</v>
      </c>
      <c r="B333" s="53">
        <f>SUM(B328:B331)</f>
        <v>4695000</v>
      </c>
      <c r="C333" s="47"/>
      <c r="D333" s="54" t="s">
        <v>102</v>
      </c>
      <c r="E333" s="55">
        <f>SUM(E328:E331)</f>
        <v>132887.96</v>
      </c>
    </row>
    <row r="335" spans="1:5" ht="27.75" customHeight="1" x14ac:dyDescent="0.35">
      <c r="A335" s="59" t="s">
        <v>86</v>
      </c>
      <c r="B335" s="59"/>
      <c r="C335" s="59"/>
      <c r="D335" s="59"/>
      <c r="E335" s="56">
        <f>Payroll_Februari_2026!W21</f>
        <v>4562112.04</v>
      </c>
    </row>
    <row r="336" spans="1:5" x14ac:dyDescent="0.35">
      <c r="A336" s="60" t="str">
        <f>" BPJS Kes (Perusahaan): "&amp;TEXT(Payroll_Februari_2026!J21,"#,##0")&amp;"  |  JHT: "&amp;TEXT(Payroll_Februari_2026!K21,"#,##0")&amp;"  |  JKK: "&amp;TEXT(Payroll_Februari_2026!L21,"#,##0")&amp;"  |  JKM: "&amp;TEXT(Payroll_Februari_2026!M21,"#,##0")</f>
        <v xml:space="preserve"> BPJS Kes (Perusahaan): 211,552  |  JHT: 148,000  |  JKK: 9,600  |  JKM: 12,000</v>
      </c>
      <c r="B336" s="60"/>
      <c r="C336" s="60"/>
      <c r="D336" s="60"/>
      <c r="E336" s="60"/>
    </row>
    <row r="337" spans="1:5" x14ac:dyDescent="0.35">
      <c r="A337" s="57"/>
      <c r="B337" s="57"/>
      <c r="C337" s="57"/>
      <c r="D337" s="57"/>
      <c r="E337" s="57"/>
    </row>
    <row r="340" spans="1:5" ht="15" customHeight="1" x14ac:dyDescent="0.35"/>
    <row r="341" spans="1:5" ht="68.5" customHeight="1" x14ac:dyDescent="0.35">
      <c r="A341" s="61" t="s">
        <v>103</v>
      </c>
      <c r="B341" s="62"/>
      <c r="C341" s="62"/>
      <c r="D341" s="62"/>
      <c r="E341" s="62"/>
    </row>
    <row r="342" spans="1:5" ht="21.75" customHeight="1" x14ac:dyDescent="0.35">
      <c r="A342" s="63" t="s">
        <v>90</v>
      </c>
      <c r="B342" s="63"/>
      <c r="C342" s="63"/>
      <c r="D342" s="63"/>
      <c r="E342" s="63"/>
    </row>
    <row r="343" spans="1:5" x14ac:dyDescent="0.35">
      <c r="A343" s="43" t="s">
        <v>0</v>
      </c>
      <c r="B343" s="44" t="str">
        <f>Payroll_Februari_2026!A22</f>
        <v>3578012501030002</v>
      </c>
      <c r="C343" s="45"/>
      <c r="D343" s="43" t="s">
        <v>2</v>
      </c>
      <c r="E343" s="46" t="str">
        <f>VLOOKUP(Payroll_Februari_2026!A22,Data_Karyawan!A:F,3,FALSE())</f>
        <v xml:space="preserve">Marketing - Visual Design </v>
      </c>
    </row>
    <row r="344" spans="1:5" x14ac:dyDescent="0.35">
      <c r="A344" s="43" t="s">
        <v>1</v>
      </c>
      <c r="B344" s="46" t="str">
        <f>Payroll_Februari_2026!B22</f>
        <v>Bambang Adi</v>
      </c>
      <c r="C344" s="45"/>
      <c r="D344" s="43" t="s">
        <v>5</v>
      </c>
      <c r="E344" s="46">
        <f>IFERROR(VLOOKUP(Payroll_Februari_2026!A22,Data_Karyawan!A:F,6,FALSE()),"-")</f>
        <v>0</v>
      </c>
    </row>
    <row r="345" spans="1:5" x14ac:dyDescent="0.35">
      <c r="A345" s="43" t="s">
        <v>91</v>
      </c>
      <c r="B345" s="46">
        <f>Payroll_Februari_2026!H22</f>
        <v>10</v>
      </c>
      <c r="C345" s="45"/>
      <c r="D345" s="45"/>
      <c r="E345" s="45"/>
    </row>
    <row r="347" spans="1:5" x14ac:dyDescent="0.35">
      <c r="A347" s="64" t="s">
        <v>92</v>
      </c>
      <c r="B347" s="64"/>
      <c r="C347" s="47"/>
      <c r="D347" s="65" t="s">
        <v>93</v>
      </c>
      <c r="E347" s="65"/>
    </row>
    <row r="348" spans="1:5" x14ac:dyDescent="0.35">
      <c r="A348" s="48" t="s">
        <v>94</v>
      </c>
      <c r="B348" s="49">
        <f>Payroll_Februari_2026!I22</f>
        <v>1700000</v>
      </c>
      <c r="C348" s="47"/>
      <c r="D348" s="48" t="s">
        <v>95</v>
      </c>
      <c r="E348" s="49">
        <f>ABS(Payroll_Februari_2026!N22)</f>
        <v>0</v>
      </c>
    </row>
    <row r="349" spans="1:5" x14ac:dyDescent="0.35">
      <c r="A349" s="50" t="s">
        <v>96</v>
      </c>
      <c r="B349" s="51">
        <f>Payroll_Februari_2026!S22</f>
        <v>220000</v>
      </c>
      <c r="C349" s="47"/>
      <c r="D349" s="50" t="s">
        <v>97</v>
      </c>
      <c r="E349" s="51">
        <f>ABS(Payroll_Februari_2026!O22)</f>
        <v>0</v>
      </c>
    </row>
    <row r="350" spans="1:5" x14ac:dyDescent="0.35">
      <c r="A350" s="48" t="s">
        <v>98</v>
      </c>
      <c r="B350" s="49">
        <f>Payroll_Februari_2026!T22</f>
        <v>250000</v>
      </c>
      <c r="C350" s="47"/>
      <c r="D350" s="48" t="s">
        <v>79</v>
      </c>
      <c r="E350" s="49">
        <f>ABS(IF(Payroll_Februari_2026!P22="",0,Payroll_Februari_2026!P22))</f>
        <v>0</v>
      </c>
    </row>
    <row r="351" spans="1:5" x14ac:dyDescent="0.35">
      <c r="A351" s="50" t="s">
        <v>99</v>
      </c>
      <c r="B351" s="51">
        <f>IF(Payroll_Februari_2026!V22="",0,Payroll_Februari_2026!V22)</f>
        <v>0</v>
      </c>
      <c r="C351" s="47"/>
      <c r="D351" s="50" t="s">
        <v>100</v>
      </c>
      <c r="E351" s="51">
        <f>ABS(IF(Payroll_Februari_2026!R22="",0,Payroll_Februari_2026!R22))</f>
        <v>0</v>
      </c>
    </row>
    <row r="353" spans="1:5" x14ac:dyDescent="0.35">
      <c r="A353" s="52" t="s">
        <v>101</v>
      </c>
      <c r="B353" s="53">
        <f>SUM(B348:B351)</f>
        <v>2170000</v>
      </c>
      <c r="C353" s="47"/>
      <c r="D353" s="54" t="s">
        <v>102</v>
      </c>
      <c r="E353" s="55">
        <f>SUM(E348:E351)</f>
        <v>0</v>
      </c>
    </row>
    <row r="355" spans="1:5" ht="27.75" customHeight="1" x14ac:dyDescent="0.35">
      <c r="A355" s="59" t="s">
        <v>86</v>
      </c>
      <c r="B355" s="59"/>
      <c r="C355" s="59"/>
      <c r="D355" s="59"/>
      <c r="E355" s="56">
        <f>Payroll_Februari_2026!W22</f>
        <v>2170000</v>
      </c>
    </row>
    <row r="356" spans="1:5" x14ac:dyDescent="0.35">
      <c r="A356" s="60" t="str">
        <f>" BPJS Kes (Perusahaan): "&amp;TEXT(Payroll_Februari_2026!J22,"#,##0")&amp;"  |  JHT: "&amp;TEXT(Payroll_Februari_2026!K22,"#,##0")&amp;"  |  JKK: "&amp;TEXT(Payroll_Februari_2026!L22,"#,##0")&amp;"  |  JKM: "&amp;TEXT(Payroll_Februari_2026!M22,"#,##0")</f>
        <v xml:space="preserve"> BPJS Kes (Perusahaan): 0  |  JHT: 0  |  JKK: 0  |  JKM: 0</v>
      </c>
      <c r="B356" s="60"/>
      <c r="C356" s="60"/>
      <c r="D356" s="60"/>
      <c r="E356" s="60"/>
    </row>
    <row r="357" spans="1:5" x14ac:dyDescent="0.35">
      <c r="A357" s="57"/>
      <c r="B357" s="57"/>
      <c r="C357" s="57"/>
      <c r="D357" s="57"/>
      <c r="E357" s="57"/>
    </row>
    <row r="360" spans="1:5" ht="15" customHeight="1" x14ac:dyDescent="0.35"/>
    <row r="361" spans="1:5" ht="66.5" customHeight="1" x14ac:dyDescent="0.35">
      <c r="A361" s="61" t="s">
        <v>103</v>
      </c>
      <c r="B361" s="62"/>
      <c r="C361" s="62"/>
      <c r="D361" s="62"/>
      <c r="E361" s="62"/>
    </row>
    <row r="362" spans="1:5" ht="21.75" customHeight="1" x14ac:dyDescent="0.35">
      <c r="A362" s="63" t="s">
        <v>90</v>
      </c>
      <c r="B362" s="63"/>
      <c r="C362" s="63"/>
      <c r="D362" s="63"/>
      <c r="E362" s="63"/>
    </row>
    <row r="363" spans="1:5" x14ac:dyDescent="0.35">
      <c r="A363" s="43" t="s">
        <v>0</v>
      </c>
      <c r="B363" s="44" t="str">
        <f>Payroll_Februari_2026!A23</f>
        <v>3522082502850005</v>
      </c>
      <c r="C363" s="45"/>
      <c r="D363" s="43" t="s">
        <v>2</v>
      </c>
      <c r="E363" s="46" t="str">
        <f>VLOOKUP(Payroll_Februari_2026!A23,Data_Karyawan!A:F,3,FALSE())</f>
        <v>Operasional</v>
      </c>
    </row>
    <row r="364" spans="1:5" x14ac:dyDescent="0.35">
      <c r="A364" s="43" t="s">
        <v>1</v>
      </c>
      <c r="B364" s="46" t="str">
        <f>Payroll_Februari_2026!B23</f>
        <v>Mochamad Soleh</v>
      </c>
      <c r="C364" s="45"/>
      <c r="D364" s="43" t="s">
        <v>5</v>
      </c>
      <c r="E364" s="46" t="str">
        <f>IFERROR(VLOOKUP(Payroll_Februari_2026!A23,Data_Karyawan!A:F,6,FALSE()),"-")</f>
        <v>K/2</v>
      </c>
    </row>
    <row r="365" spans="1:5" x14ac:dyDescent="0.35">
      <c r="A365" s="43" t="s">
        <v>91</v>
      </c>
      <c r="B365" s="46">
        <f>Payroll_Februari_2026!H23</f>
        <v>19</v>
      </c>
      <c r="C365" s="45"/>
      <c r="D365" s="45"/>
      <c r="E365" s="45"/>
    </row>
    <row r="367" spans="1:5" x14ac:dyDescent="0.35">
      <c r="A367" s="64" t="s">
        <v>92</v>
      </c>
      <c r="B367" s="64"/>
      <c r="C367" s="47"/>
      <c r="D367" s="65" t="s">
        <v>93</v>
      </c>
      <c r="E367" s="65"/>
    </row>
    <row r="368" spans="1:5" x14ac:dyDescent="0.35">
      <c r="A368" s="48" t="s">
        <v>94</v>
      </c>
      <c r="B368" s="49">
        <f>Payroll_Februari_2026!I23</f>
        <v>4500000</v>
      </c>
      <c r="C368" s="47"/>
      <c r="D368" s="48" t="s">
        <v>95</v>
      </c>
      <c r="E368" s="49">
        <f>ABS(Payroll_Februari_2026!N23)</f>
        <v>52887.96</v>
      </c>
    </row>
    <row r="369" spans="1:5" x14ac:dyDescent="0.35">
      <c r="A369" s="50" t="s">
        <v>96</v>
      </c>
      <c r="B369" s="51">
        <f>Payroll_Februari_2026!S23</f>
        <v>220000</v>
      </c>
      <c r="C369" s="47"/>
      <c r="D369" s="50" t="s">
        <v>97</v>
      </c>
      <c r="E369" s="51">
        <f>ABS(Payroll_Februari_2026!O23)</f>
        <v>90000</v>
      </c>
    </row>
    <row r="370" spans="1:5" x14ac:dyDescent="0.35">
      <c r="A370" s="48" t="s">
        <v>98</v>
      </c>
      <c r="B370" s="49">
        <f>Payroll_Februari_2026!T23</f>
        <v>475000</v>
      </c>
      <c r="C370" s="47"/>
      <c r="D370" s="48" t="s">
        <v>79</v>
      </c>
      <c r="E370" s="49">
        <f>ABS(IF(Payroll_Februari_2026!P23="",0,Payroll_Februari_2026!P23))</f>
        <v>0</v>
      </c>
    </row>
    <row r="371" spans="1:5" x14ac:dyDescent="0.35">
      <c r="A371" s="50" t="s">
        <v>99</v>
      </c>
      <c r="B371" s="51">
        <f>IF(Payroll_Februari_2026!V23="",0,Payroll_Februari_2026!V23)</f>
        <v>0</v>
      </c>
      <c r="C371" s="47"/>
      <c r="D371" s="50" t="s">
        <v>100</v>
      </c>
      <c r="E371" s="51">
        <f>ABS(IF(Payroll_Februari_2026!R23="",0,Payroll_Februari_2026!R23))</f>
        <v>0</v>
      </c>
    </row>
    <row r="373" spans="1:5" x14ac:dyDescent="0.35">
      <c r="A373" s="52" t="s">
        <v>101</v>
      </c>
      <c r="B373" s="53">
        <f>SUM(B368:B371)</f>
        <v>5195000</v>
      </c>
      <c r="C373" s="47"/>
      <c r="D373" s="54" t="s">
        <v>102</v>
      </c>
      <c r="E373" s="55">
        <f>SUM(E368:E371)</f>
        <v>142887.96</v>
      </c>
    </row>
    <row r="375" spans="1:5" ht="27.75" customHeight="1" x14ac:dyDescent="0.35">
      <c r="A375" s="59" t="s">
        <v>86</v>
      </c>
      <c r="B375" s="59"/>
      <c r="C375" s="59"/>
      <c r="D375" s="59"/>
      <c r="E375" s="56">
        <f>Payroll_Februari_2026!W23</f>
        <v>5052112.04</v>
      </c>
    </row>
    <row r="376" spans="1:5" x14ac:dyDescent="0.35">
      <c r="A376" s="60" t="str">
        <f>" BPJS Kes (Perusahaan): "&amp;TEXT(Payroll_Februari_2026!J23,"#,##0")&amp;"  |  JHT: "&amp;TEXT(Payroll_Februari_2026!K23,"#,##0")&amp;"  |  JKK: "&amp;TEXT(Payroll_Februari_2026!L23,"#,##0")&amp;"  |  JKM: "&amp;TEXT(Payroll_Februari_2026!M23,"#,##0")</f>
        <v xml:space="preserve"> BPJS Kes (Perusahaan): 211,552  |  JHT: 166,500  |  JKK: 10,800  |  JKM: 13,500</v>
      </c>
      <c r="B376" s="60"/>
      <c r="C376" s="60"/>
      <c r="D376" s="60"/>
      <c r="E376" s="60"/>
    </row>
    <row r="377" spans="1:5" x14ac:dyDescent="0.35">
      <c r="A377" s="57"/>
      <c r="B377" s="57"/>
      <c r="C377" s="57"/>
      <c r="D377" s="57"/>
      <c r="E377" s="57"/>
    </row>
    <row r="380" spans="1:5" ht="15" customHeight="1" x14ac:dyDescent="0.35"/>
    <row r="381" spans="1:5" ht="66.5" customHeight="1" x14ac:dyDescent="0.35">
      <c r="A381" s="61" t="s">
        <v>103</v>
      </c>
      <c r="B381" s="62"/>
      <c r="C381" s="62"/>
      <c r="D381" s="62"/>
      <c r="E381" s="62"/>
    </row>
    <row r="382" spans="1:5" ht="21.75" customHeight="1" x14ac:dyDescent="0.35">
      <c r="A382" s="63" t="s">
        <v>90</v>
      </c>
      <c r="B382" s="63"/>
      <c r="C382" s="63"/>
      <c r="D382" s="63"/>
      <c r="E382" s="63"/>
    </row>
    <row r="383" spans="1:5" x14ac:dyDescent="0.35">
      <c r="A383" s="43" t="s">
        <v>0</v>
      </c>
      <c r="B383" s="44" t="str">
        <f>Payroll_Februari_2026!A24</f>
        <v>3524013107840001</v>
      </c>
      <c r="C383" s="45"/>
      <c r="D383" s="43" t="s">
        <v>2</v>
      </c>
      <c r="E383" s="46" t="str">
        <f>VLOOKUP(Payroll_Februari_2026!A24,Data_Karyawan!A:F,3,FALSE())</f>
        <v>Operasional</v>
      </c>
    </row>
    <row r="384" spans="1:5" x14ac:dyDescent="0.35">
      <c r="A384" s="43" t="s">
        <v>1</v>
      </c>
      <c r="B384" s="46" t="str">
        <f>Payroll_Februari_2026!B24</f>
        <v>Kamit</v>
      </c>
      <c r="C384" s="45"/>
      <c r="D384" s="43" t="s">
        <v>5</v>
      </c>
      <c r="E384" s="46" t="str">
        <f>IFERROR(VLOOKUP(Payroll_Februari_2026!A24,Data_Karyawan!A:F,6,FALSE()),"-")</f>
        <v>K/1</v>
      </c>
    </row>
    <row r="385" spans="1:5" x14ac:dyDescent="0.35">
      <c r="A385" s="43" t="s">
        <v>91</v>
      </c>
      <c r="B385" s="46">
        <f>Payroll_Februari_2026!H24</f>
        <v>19</v>
      </c>
      <c r="C385" s="45"/>
      <c r="D385" s="45"/>
      <c r="E385" s="45"/>
    </row>
    <row r="387" spans="1:5" x14ac:dyDescent="0.35">
      <c r="A387" s="64" t="s">
        <v>92</v>
      </c>
      <c r="B387" s="64"/>
      <c r="C387" s="47"/>
      <c r="D387" s="65" t="s">
        <v>93</v>
      </c>
      <c r="E387" s="65"/>
    </row>
    <row r="388" spans="1:5" x14ac:dyDescent="0.35">
      <c r="A388" s="48" t="s">
        <v>94</v>
      </c>
      <c r="B388" s="49">
        <f>Payroll_Februari_2026!I24</f>
        <v>3500000</v>
      </c>
      <c r="C388" s="47"/>
      <c r="D388" s="48" t="s">
        <v>95</v>
      </c>
      <c r="E388" s="49">
        <f>ABS(Payroll_Februari_2026!N24)</f>
        <v>52887.96</v>
      </c>
    </row>
    <row r="389" spans="1:5" x14ac:dyDescent="0.35">
      <c r="A389" s="50" t="s">
        <v>96</v>
      </c>
      <c r="B389" s="51">
        <f>Payroll_Februari_2026!S24</f>
        <v>220000</v>
      </c>
      <c r="C389" s="47"/>
      <c r="D389" s="50" t="s">
        <v>97</v>
      </c>
      <c r="E389" s="51">
        <f>ABS(Payroll_Februari_2026!O24)</f>
        <v>70000</v>
      </c>
    </row>
    <row r="390" spans="1:5" x14ac:dyDescent="0.35">
      <c r="A390" s="48" t="s">
        <v>98</v>
      </c>
      <c r="B390" s="49">
        <f>Payroll_Februari_2026!T24</f>
        <v>475000</v>
      </c>
      <c r="C390" s="47"/>
      <c r="D390" s="48" t="s">
        <v>79</v>
      </c>
      <c r="E390" s="49">
        <f>ABS(IF(Payroll_Februari_2026!P24="",0,Payroll_Februari_2026!P24))</f>
        <v>0</v>
      </c>
    </row>
    <row r="391" spans="1:5" x14ac:dyDescent="0.35">
      <c r="A391" s="50" t="s">
        <v>99</v>
      </c>
      <c r="B391" s="51">
        <f>IF(Payroll_Februari_2026!V24="",0,Payroll_Februari_2026!V24)</f>
        <v>0</v>
      </c>
      <c r="C391" s="47"/>
      <c r="D391" s="50" t="s">
        <v>100</v>
      </c>
      <c r="E391" s="51">
        <f>ABS(IF(Payroll_Februari_2026!R24="",0,Payroll_Februari_2026!R24))</f>
        <v>400000</v>
      </c>
    </row>
    <row r="393" spans="1:5" x14ac:dyDescent="0.35">
      <c r="A393" s="52" t="s">
        <v>101</v>
      </c>
      <c r="B393" s="53">
        <f>SUM(B388:B391)</f>
        <v>4195000</v>
      </c>
      <c r="C393" s="47"/>
      <c r="D393" s="54" t="s">
        <v>102</v>
      </c>
      <c r="E393" s="55">
        <f>SUM(E388:E391)</f>
        <v>522887.95999999996</v>
      </c>
    </row>
    <row r="395" spans="1:5" ht="27.75" customHeight="1" x14ac:dyDescent="0.35">
      <c r="A395" s="59" t="s">
        <v>86</v>
      </c>
      <c r="B395" s="59"/>
      <c r="C395" s="59"/>
      <c r="D395" s="59"/>
      <c r="E395" s="56">
        <f>Payroll_Februari_2026!W24</f>
        <v>3672112.04</v>
      </c>
    </row>
    <row r="396" spans="1:5" x14ac:dyDescent="0.35">
      <c r="A396" s="60" t="str">
        <f>" BPJS Kes (Perusahaan): "&amp;TEXT(Payroll_Februari_2026!J24,"#,##0")&amp;"  |  JHT: "&amp;TEXT(Payroll_Februari_2026!K24,"#,##0")&amp;"  |  JKK: "&amp;TEXT(Payroll_Februari_2026!L24,"#,##0")&amp;"  |  JKM: "&amp;TEXT(Payroll_Februari_2026!M24,"#,##0")</f>
        <v xml:space="preserve"> BPJS Kes (Perusahaan): 211,552  |  JHT: 129,500  |  JKK: 8,400  |  JKM: 10,500</v>
      </c>
      <c r="B396" s="60"/>
      <c r="C396" s="60"/>
      <c r="D396" s="60"/>
      <c r="E396" s="60"/>
    </row>
    <row r="397" spans="1:5" x14ac:dyDescent="0.35">
      <c r="A397" s="57"/>
      <c r="B397" s="57"/>
      <c r="C397" s="57"/>
      <c r="D397" s="57"/>
      <c r="E397" s="57"/>
    </row>
    <row r="400" spans="1:5" ht="15" customHeight="1" x14ac:dyDescent="0.35"/>
    <row r="401" spans="1:5" ht="30" customHeight="1" x14ac:dyDescent="0.35">
      <c r="A401" s="61" t="s">
        <v>103</v>
      </c>
      <c r="B401" s="62"/>
      <c r="C401" s="62"/>
      <c r="D401" s="62"/>
      <c r="E401" s="62"/>
    </row>
    <row r="402" spans="1:5" ht="21.75" customHeight="1" x14ac:dyDescent="0.35">
      <c r="A402" s="63" t="s">
        <v>90</v>
      </c>
      <c r="B402" s="63"/>
      <c r="C402" s="63"/>
      <c r="D402" s="63"/>
      <c r="E402" s="63"/>
    </row>
    <row r="403" spans="1:5" x14ac:dyDescent="0.35">
      <c r="A403" s="43" t="s">
        <v>0</v>
      </c>
      <c r="B403" s="44" t="str">
        <f>Payroll_Februari_2026!A25</f>
        <v>3522081109070003</v>
      </c>
      <c r="C403" s="45"/>
      <c r="D403" s="43" t="s">
        <v>2</v>
      </c>
      <c r="E403" s="46" t="str">
        <f>VLOOKUP(Payroll_Februari_2026!A25,Data_Karyawan!A:F,3,FALSE())</f>
        <v>Operasional</v>
      </c>
    </row>
    <row r="404" spans="1:5" x14ac:dyDescent="0.35">
      <c r="A404" s="43" t="s">
        <v>1</v>
      </c>
      <c r="B404" s="46" t="str">
        <f>Payroll_Februari_2026!B25</f>
        <v>Galang Belvasya Septian</v>
      </c>
      <c r="C404" s="45"/>
      <c r="D404" s="43" t="s">
        <v>5</v>
      </c>
      <c r="E404" s="46" t="str">
        <f>IFERROR(VLOOKUP(Payroll_Februari_2026!A25,Data_Karyawan!A:F,6,FALSE()),"-")</f>
        <v>TK/0</v>
      </c>
    </row>
    <row r="405" spans="1:5" x14ac:dyDescent="0.35">
      <c r="A405" s="43" t="s">
        <v>91</v>
      </c>
      <c r="B405" s="46">
        <f>Payroll_Februari_2026!H25</f>
        <v>19</v>
      </c>
      <c r="C405" s="45"/>
      <c r="D405" s="45"/>
      <c r="E405" s="45"/>
    </row>
    <row r="407" spans="1:5" x14ac:dyDescent="0.35">
      <c r="A407" s="64" t="s">
        <v>92</v>
      </c>
      <c r="B407" s="64"/>
      <c r="C407" s="47"/>
      <c r="D407" s="65" t="s">
        <v>93</v>
      </c>
      <c r="E407" s="65"/>
    </row>
    <row r="408" spans="1:5" x14ac:dyDescent="0.35">
      <c r="A408" s="48" t="s">
        <v>94</v>
      </c>
      <c r="B408" s="49">
        <f>Payroll_Februari_2026!I25</f>
        <v>3000000</v>
      </c>
      <c r="C408" s="47"/>
      <c r="D408" s="48" t="s">
        <v>95</v>
      </c>
      <c r="E408" s="49">
        <f>ABS(Payroll_Februari_2026!N25)</f>
        <v>52887.96</v>
      </c>
    </row>
    <row r="409" spans="1:5" x14ac:dyDescent="0.35">
      <c r="A409" s="50" t="s">
        <v>96</v>
      </c>
      <c r="B409" s="51">
        <f>Payroll_Februari_2026!S25</f>
        <v>220000</v>
      </c>
      <c r="C409" s="47"/>
      <c r="D409" s="50" t="s">
        <v>97</v>
      </c>
      <c r="E409" s="51">
        <f>ABS(Payroll_Februari_2026!O25)</f>
        <v>0</v>
      </c>
    </row>
    <row r="410" spans="1:5" x14ac:dyDescent="0.35">
      <c r="A410" s="48" t="s">
        <v>98</v>
      </c>
      <c r="B410" s="49">
        <f>Payroll_Februari_2026!T25</f>
        <v>475000</v>
      </c>
      <c r="C410" s="47"/>
      <c r="D410" s="48" t="s">
        <v>79</v>
      </c>
      <c r="E410" s="49">
        <f>ABS(IF(Payroll_Februari_2026!P25="",0,Payroll_Februari_2026!P25))</f>
        <v>0</v>
      </c>
    </row>
    <row r="411" spans="1:5" x14ac:dyDescent="0.35">
      <c r="A411" s="50" t="s">
        <v>99</v>
      </c>
      <c r="B411" s="51">
        <f>IF(Payroll_Februari_2026!V25="",0,Payroll_Februari_2026!V25)</f>
        <v>0</v>
      </c>
      <c r="C411" s="47"/>
      <c r="D411" s="50" t="s">
        <v>100</v>
      </c>
      <c r="E411" s="51">
        <f>ABS(IF(Payroll_Februari_2026!R25="",0,Payroll_Februari_2026!R25))</f>
        <v>0</v>
      </c>
    </row>
    <row r="413" spans="1:5" x14ac:dyDescent="0.35">
      <c r="A413" s="52" t="s">
        <v>101</v>
      </c>
      <c r="B413" s="53">
        <f>SUM(B408:B411)</f>
        <v>3695000</v>
      </c>
      <c r="C413" s="47"/>
      <c r="D413" s="54" t="s">
        <v>102</v>
      </c>
      <c r="E413" s="55">
        <f>SUM(E408:E411)</f>
        <v>52887.96</v>
      </c>
    </row>
    <row r="415" spans="1:5" ht="27.75" customHeight="1" x14ac:dyDescent="0.35">
      <c r="A415" s="59" t="s">
        <v>86</v>
      </c>
      <c r="B415" s="59"/>
      <c r="C415" s="59"/>
      <c r="D415" s="59"/>
      <c r="E415" s="56">
        <f>Payroll_Februari_2026!W25</f>
        <v>3642112.04</v>
      </c>
    </row>
    <row r="416" spans="1:5" x14ac:dyDescent="0.35">
      <c r="A416" s="60" t="str">
        <f>" BPJS Kes (Perusahaan): "&amp;TEXT(Payroll_Februari_2026!J25,"#,##0")&amp;"  |  JHT: "&amp;TEXT(Payroll_Februari_2026!K25,"#,##0")&amp;"  |  JKK: "&amp;TEXT(Payroll_Februari_2026!L25,"#,##0")&amp;"  |  JKM: "&amp;TEXT(Payroll_Februari_2026!M25,"#,##0")</f>
        <v xml:space="preserve"> BPJS Kes (Perusahaan): 211,552  |  JHT: 0  |  JKK: 0  |  JKM: 0</v>
      </c>
      <c r="B416" s="60"/>
      <c r="C416" s="60"/>
      <c r="D416" s="60"/>
      <c r="E416" s="60"/>
    </row>
    <row r="417" spans="1:5" x14ac:dyDescent="0.35">
      <c r="A417" s="57"/>
      <c r="B417" s="57"/>
      <c r="C417" s="57"/>
      <c r="D417" s="57"/>
      <c r="E417" s="57"/>
    </row>
  </sheetData>
  <mergeCells count="126">
    <mergeCell ref="A1:E1"/>
    <mergeCell ref="A2:E2"/>
    <mergeCell ref="A7:B7"/>
    <mergeCell ref="D7:E7"/>
    <mergeCell ref="A15:D15"/>
    <mergeCell ref="A16:E16"/>
    <mergeCell ref="A21:E21"/>
    <mergeCell ref="A22:E22"/>
    <mergeCell ref="A27:B27"/>
    <mergeCell ref="D27:E27"/>
    <mergeCell ref="A35:D35"/>
    <mergeCell ref="A36:E36"/>
    <mergeCell ref="A41:E41"/>
    <mergeCell ref="A42:E42"/>
    <mergeCell ref="A47:B47"/>
    <mergeCell ref="D47:E47"/>
    <mergeCell ref="A55:D55"/>
    <mergeCell ref="A56:E56"/>
    <mergeCell ref="A61:E61"/>
    <mergeCell ref="A62:E62"/>
    <mergeCell ref="A67:B67"/>
    <mergeCell ref="D67:E67"/>
    <mergeCell ref="A75:D75"/>
    <mergeCell ref="A76:E76"/>
    <mergeCell ref="A81:E81"/>
    <mergeCell ref="A82:E82"/>
    <mergeCell ref="A87:B87"/>
    <mergeCell ref="D87:E87"/>
    <mergeCell ref="A95:D95"/>
    <mergeCell ref="A96:E96"/>
    <mergeCell ref="A101:E101"/>
    <mergeCell ref="A102:E102"/>
    <mergeCell ref="A107:B107"/>
    <mergeCell ref="D107:E107"/>
    <mergeCell ref="A115:D115"/>
    <mergeCell ref="A116:E116"/>
    <mergeCell ref="A121:E121"/>
    <mergeCell ref="A122:E122"/>
    <mergeCell ref="A127:B127"/>
    <mergeCell ref="D127:E127"/>
    <mergeCell ref="A135:D135"/>
    <mergeCell ref="A136:E136"/>
    <mergeCell ref="A141:E141"/>
    <mergeCell ref="A142:E142"/>
    <mergeCell ref="A147:B147"/>
    <mergeCell ref="D147:E147"/>
    <mergeCell ref="A155:D155"/>
    <mergeCell ref="A156:E156"/>
    <mergeCell ref="A161:E161"/>
    <mergeCell ref="A162:E162"/>
    <mergeCell ref="A167:B167"/>
    <mergeCell ref="D167:E167"/>
    <mergeCell ref="A175:D175"/>
    <mergeCell ref="A176:E176"/>
    <mergeCell ref="A181:E181"/>
    <mergeCell ref="A182:E182"/>
    <mergeCell ref="A187:B187"/>
    <mergeCell ref="D187:E187"/>
    <mergeCell ref="A195:D195"/>
    <mergeCell ref="A196:E196"/>
    <mergeCell ref="A201:E201"/>
    <mergeCell ref="A202:E202"/>
    <mergeCell ref="A207:B207"/>
    <mergeCell ref="D207:E207"/>
    <mergeCell ref="A215:D215"/>
    <mergeCell ref="A216:E216"/>
    <mergeCell ref="A221:E221"/>
    <mergeCell ref="A222:E222"/>
    <mergeCell ref="A227:B227"/>
    <mergeCell ref="D227:E227"/>
    <mergeCell ref="A235:D235"/>
    <mergeCell ref="A236:E236"/>
    <mergeCell ref="A241:E241"/>
    <mergeCell ref="A242:E242"/>
    <mergeCell ref="A247:B247"/>
    <mergeCell ref="D247:E247"/>
    <mergeCell ref="A255:D255"/>
    <mergeCell ref="A256:E256"/>
    <mergeCell ref="A261:E261"/>
    <mergeCell ref="A262:E262"/>
    <mergeCell ref="A267:B267"/>
    <mergeCell ref="D267:E267"/>
    <mergeCell ref="A275:D275"/>
    <mergeCell ref="A276:E276"/>
    <mergeCell ref="A281:E281"/>
    <mergeCell ref="A282:E282"/>
    <mergeCell ref="A287:B287"/>
    <mergeCell ref="D287:E287"/>
    <mergeCell ref="A295:D295"/>
    <mergeCell ref="A296:E296"/>
    <mergeCell ref="A301:E301"/>
    <mergeCell ref="A302:E302"/>
    <mergeCell ref="A307:B307"/>
    <mergeCell ref="D307:E307"/>
    <mergeCell ref="A315:D315"/>
    <mergeCell ref="A316:E316"/>
    <mergeCell ref="A321:E321"/>
    <mergeCell ref="A322:E322"/>
    <mergeCell ref="A327:B327"/>
    <mergeCell ref="D327:E327"/>
    <mergeCell ref="A335:D335"/>
    <mergeCell ref="A336:E336"/>
    <mergeCell ref="A341:E341"/>
    <mergeCell ref="A342:E342"/>
    <mergeCell ref="A347:B347"/>
    <mergeCell ref="D347:E347"/>
    <mergeCell ref="A355:D355"/>
    <mergeCell ref="A356:E356"/>
    <mergeCell ref="A361:E361"/>
    <mergeCell ref="A395:D395"/>
    <mergeCell ref="A396:E396"/>
    <mergeCell ref="A401:E401"/>
    <mergeCell ref="A402:E402"/>
    <mergeCell ref="A407:B407"/>
    <mergeCell ref="D407:E407"/>
    <mergeCell ref="A415:D415"/>
    <mergeCell ref="A416:E416"/>
    <mergeCell ref="A362:E362"/>
    <mergeCell ref="A367:B367"/>
    <mergeCell ref="D367:E367"/>
    <mergeCell ref="A375:D375"/>
    <mergeCell ref="A376:E376"/>
    <mergeCell ref="A381:E381"/>
    <mergeCell ref="A382:E382"/>
    <mergeCell ref="A387:B387"/>
    <mergeCell ref="D387:E387"/>
  </mergeCells>
  <pageMargins left="0.5" right="0.5" top="0.5" bottom="0.5" header="0.511811023622047" footer="0.511811023622047"/>
  <pageSetup fitToHeight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Data_Karyawan</vt:lpstr>
      <vt:lpstr>Payroll_Februari_2026</vt:lpstr>
      <vt:lpstr>Slip_Gaji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titodigitalkreasi.solid@gmail.com</cp:lastModifiedBy>
  <cp:revision>0</cp:revision>
  <dcterms:created xsi:type="dcterms:W3CDTF">2026-02-17T08:25:47Z</dcterms:created>
  <dcterms:modified xsi:type="dcterms:W3CDTF">2026-02-25T08:57:29Z</dcterms:modified>
  <dc:language>en-US</dc:language>
</cp:coreProperties>
</file>